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ny\Downloads\"/>
    </mc:Choice>
  </mc:AlternateContent>
  <bookViews>
    <workbookView xWindow="0" yWindow="0" windowWidth="23040" windowHeight="9264" activeTab="2"/>
  </bookViews>
  <sheets>
    <sheet name="Team performance" sheetId="4" r:id="rId1"/>
    <sheet name="QA Summary" sheetId="5" r:id="rId2"/>
    <sheet name="Department Performance" sheetId="6" r:id="rId3"/>
    <sheet name="MIS DashBoard" sheetId="8" r:id="rId4"/>
    <sheet name="Raw_Data" sheetId="1" r:id="rId5"/>
    <sheet name="Employee_Master" sheetId="2" r:id="rId6"/>
  </sheets>
  <calcPr calcId="152511"/>
  <pivotCaches>
    <pivotCache cacheId="1" r:id="rId7"/>
  </pivotCaches>
</workbook>
</file>

<file path=xl/calcChain.xml><?xml version="1.0" encoding="utf-8"?>
<calcChain xmlns="http://schemas.openxmlformats.org/spreadsheetml/2006/main">
  <c r="F5" i="8" l="1"/>
  <c r="C5" i="8"/>
  <c r="H5" i="8"/>
  <c r="A5" i="8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2" i="1"/>
  <c r="S6" i="1"/>
  <c r="S2" i="1"/>
  <c r="S3" i="1"/>
  <c r="S4" i="1"/>
  <c r="S5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N2" i="1"/>
  <c r="O2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P2" i="1" l="1"/>
  <c r="P8" i="1"/>
  <c r="P23" i="1"/>
  <c r="P24" i="1"/>
  <c r="P25" i="1"/>
  <c r="P17" i="1"/>
  <c r="P9" i="1"/>
  <c r="P31" i="1"/>
  <c r="P15" i="1"/>
  <c r="P7" i="1"/>
  <c r="P16" i="1"/>
  <c r="P30" i="1"/>
  <c r="P22" i="1"/>
  <c r="P14" i="1"/>
  <c r="P6" i="1"/>
  <c r="P29" i="1"/>
  <c r="P21" i="1"/>
  <c r="P13" i="1"/>
  <c r="P5" i="1"/>
  <c r="P28" i="1"/>
  <c r="P20" i="1"/>
  <c r="P12" i="1"/>
  <c r="P4" i="1"/>
  <c r="P27" i="1"/>
  <c r="P19" i="1"/>
  <c r="P11" i="1"/>
  <c r="P3" i="1"/>
  <c r="P26" i="1"/>
  <c r="P18" i="1"/>
  <c r="P10" i="1"/>
</calcChain>
</file>

<file path=xl/sharedStrings.xml><?xml version="1.0" encoding="utf-8"?>
<sst xmlns="http://schemas.openxmlformats.org/spreadsheetml/2006/main" count="435" uniqueCount="101">
  <si>
    <t>Case ID</t>
  </si>
  <si>
    <t>Employee Name</t>
  </si>
  <si>
    <t>Team</t>
  </si>
  <si>
    <t>Department</t>
  </si>
  <si>
    <t>Channel</t>
  </si>
  <si>
    <t>Location</t>
  </si>
  <si>
    <t>Date</t>
  </si>
  <si>
    <t>Target</t>
  </si>
  <si>
    <t>Resolved</t>
  </si>
  <si>
    <t>QA Score</t>
  </si>
  <si>
    <t>Attendance</t>
  </si>
  <si>
    <t>Status</t>
  </si>
  <si>
    <t xml:space="preserve">  Arif Khan</t>
  </si>
  <si>
    <t>North</t>
  </si>
  <si>
    <t>Support</t>
  </si>
  <si>
    <t>Email</t>
  </si>
  <si>
    <t>Hyderabad</t>
  </si>
  <si>
    <t>2026-08-24</t>
  </si>
  <si>
    <t>Present</t>
  </si>
  <si>
    <t>Closed</t>
  </si>
  <si>
    <t xml:space="preserve">Sneha Rao </t>
  </si>
  <si>
    <t>South</t>
  </si>
  <si>
    <t>Chat</t>
  </si>
  <si>
    <t>Bengaluru</t>
  </si>
  <si>
    <t>Imran Ali</t>
  </si>
  <si>
    <t>East</t>
  </si>
  <si>
    <t>Verification</t>
  </si>
  <si>
    <t>Phone</t>
  </si>
  <si>
    <t>Chennai</t>
  </si>
  <si>
    <t>Priya Shah</t>
  </si>
  <si>
    <t>West</t>
  </si>
  <si>
    <t>Mumbai</t>
  </si>
  <si>
    <t>Rahul Das</t>
  </si>
  <si>
    <t xml:space="preserve">  Fatima Noor </t>
  </si>
  <si>
    <t>Vikram Singh</t>
  </si>
  <si>
    <t>Absent</t>
  </si>
  <si>
    <t>Aisha Khan</t>
  </si>
  <si>
    <t>Daniel Roy</t>
  </si>
  <si>
    <t>Meera Nair</t>
  </si>
  <si>
    <t>Omar Khan</t>
  </si>
  <si>
    <t>Neha Patel</t>
  </si>
  <si>
    <t>Zaid Ahmed</t>
  </si>
  <si>
    <t>Kavya Rao</t>
  </si>
  <si>
    <t xml:space="preserve">  Yusuf Ali</t>
  </si>
  <si>
    <t>Arjun Mehta</t>
  </si>
  <si>
    <t>Sana Khan</t>
  </si>
  <si>
    <t>Ravi Kumar</t>
  </si>
  <si>
    <t>Hina Sheikh</t>
  </si>
  <si>
    <t>Mohan Rao</t>
  </si>
  <si>
    <t>Arif Khan</t>
  </si>
  <si>
    <t>Latha Devi</t>
  </si>
  <si>
    <t>Sameer Ali</t>
  </si>
  <si>
    <t>Pooja Shah</t>
  </si>
  <si>
    <t>Nitin Das</t>
  </si>
  <si>
    <t>Farah Noor</t>
  </si>
  <si>
    <t>Karan Singh</t>
  </si>
  <si>
    <t>Anita Roy</t>
  </si>
  <si>
    <t>Bilal Khan</t>
  </si>
  <si>
    <t>Divya Nair</t>
  </si>
  <si>
    <t>Manager</t>
  </si>
  <si>
    <t>Shift</t>
  </si>
  <si>
    <t>Tier</t>
  </si>
  <si>
    <t>Manager North</t>
  </si>
  <si>
    <t>Morning</t>
  </si>
  <si>
    <t>Tier 1</t>
  </si>
  <si>
    <t>Sneha Rao</t>
  </si>
  <si>
    <t>Manager South</t>
  </si>
  <si>
    <t>Evening</t>
  </si>
  <si>
    <t>Tier 2</t>
  </si>
  <si>
    <t>Manager East</t>
  </si>
  <si>
    <t>Night</t>
  </si>
  <si>
    <t>Manager West</t>
  </si>
  <si>
    <t>Fatima Noor</t>
  </si>
  <si>
    <t>Yusuf Ali</t>
  </si>
  <si>
    <t>Name</t>
  </si>
  <si>
    <t>Achievemnent</t>
  </si>
  <si>
    <t>Perfromnace</t>
  </si>
  <si>
    <t>Below Target</t>
  </si>
  <si>
    <t>Resolved2</t>
  </si>
  <si>
    <t>Vlookup1</t>
  </si>
  <si>
    <t>Vlookup2</t>
  </si>
  <si>
    <t>Row Labels</t>
  </si>
  <si>
    <t>Grand Total</t>
  </si>
  <si>
    <t>Count of Target</t>
  </si>
  <si>
    <t>Sum of Resolved</t>
  </si>
  <si>
    <t>Average of Achievemnent</t>
  </si>
  <si>
    <t>Average of QA Score</t>
  </si>
  <si>
    <t>Total Target</t>
  </si>
  <si>
    <t>Total Resolved</t>
  </si>
  <si>
    <t>Average Achievment %</t>
  </si>
  <si>
    <t>Team Performance Summary</t>
  </si>
  <si>
    <t>Location wise case and QA Score</t>
  </si>
  <si>
    <t>Case Volume By Location</t>
  </si>
  <si>
    <t xml:space="preserve">Location </t>
  </si>
  <si>
    <t>Case Count</t>
  </si>
  <si>
    <t>Department Performance Summary</t>
  </si>
  <si>
    <t>MIS Performance Dashboard</t>
  </si>
  <si>
    <t>Total Target |Total resolved|Acheivement %|Average QA Score</t>
  </si>
  <si>
    <t>Achievement</t>
  </si>
  <si>
    <t xml:space="preserve">Region </t>
  </si>
  <si>
    <t xml:space="preserve">Total Target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</si>
</sst>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9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5" fillId="0" borderId="0" xfId="0" applyFont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7" xfId="0" applyBorder="1"/>
  </cellXfs>
  <cellStyles count="2">
    <cellStyle name="Normal" xfId="0" builtinId="0"/>
    <cellStyle name="Percent" xfId="1" builtinId="5"/>
  </cellStyles>
  <dxfs count="15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VS Resolved By Team</a:t>
            </a:r>
          </a:p>
        </c:rich>
      </c:tx>
      <c:layout>
        <c:manualLayout>
          <c:xMode val="edge"/>
          <c:yMode val="edge"/>
          <c:x val="0.2759930008748906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performance'!$B$11</c:f>
              <c:strCache>
                <c:ptCount val="1"/>
                <c:pt idx="0">
                  <c:v>Total Target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performance'!$A$12:$A$15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'Team performance'!$B$12:$B$15</c:f>
              <c:numCache>
                <c:formatCode>General</c:formatCode>
                <c:ptCount val="4"/>
                <c:pt idx="0">
                  <c:v>357</c:v>
                </c:pt>
                <c:pt idx="1">
                  <c:v>398</c:v>
                </c:pt>
                <c:pt idx="2">
                  <c:v>379</c:v>
                </c:pt>
                <c:pt idx="3">
                  <c:v>348</c:v>
                </c:pt>
              </c:numCache>
            </c:numRef>
          </c:val>
        </c:ser>
        <c:ser>
          <c:idx val="1"/>
          <c:order val="1"/>
          <c:tx>
            <c:strRef>
              <c:f>'Team performance'!$C$11</c:f>
              <c:strCache>
                <c:ptCount val="1"/>
                <c:pt idx="0">
                  <c:v>Total Resolved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'Team performance'!$A$12:$A$15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'Team performance'!$C$12:$C$15</c:f>
              <c:numCache>
                <c:formatCode>General</c:formatCode>
                <c:ptCount val="4"/>
                <c:pt idx="0">
                  <c:v>329</c:v>
                </c:pt>
                <c:pt idx="1">
                  <c:v>367</c:v>
                </c:pt>
                <c:pt idx="2">
                  <c:v>314</c:v>
                </c:pt>
                <c:pt idx="3">
                  <c:v>314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566832"/>
        <c:axId val="403307360"/>
      </c:barChart>
      <c:catAx>
        <c:axId val="3345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07360"/>
        <c:crosses val="autoZero"/>
        <c:auto val="1"/>
        <c:lblAlgn val="ctr"/>
        <c:lblOffset val="100"/>
        <c:noMultiLvlLbl val="0"/>
      </c:catAx>
      <c:valAx>
        <c:axId val="4033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6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Case Volume</a:t>
            </a:r>
            <a:r>
              <a:rPr lang="en-IN" baseline="0"/>
              <a:t> By Location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'QA Summary'!$B$10</c:f>
              <c:strCache>
                <c:ptCount val="1"/>
                <c:pt idx="0">
                  <c:v>Case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'QA Summary'!$A$11:$A$14</c:f>
              <c:strCache>
                <c:ptCount val="4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'QA Summary'!$B$11:$B$14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422496"/>
        <c:axId val="401155456"/>
      </c:barChart>
      <c:catAx>
        <c:axId val="40542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55456"/>
        <c:crosses val="autoZero"/>
        <c:auto val="1"/>
        <c:lblAlgn val="ctr"/>
        <c:lblOffset val="100"/>
        <c:noMultiLvlLbl val="0"/>
      </c:catAx>
      <c:valAx>
        <c:axId val="4011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2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Resolved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Performance'!$B$8</c:f>
              <c:strCache>
                <c:ptCount val="1"/>
                <c:pt idx="0">
                  <c:v>Total Resolved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Performance'!$A$9:$A$10</c:f>
              <c:strCache>
                <c:ptCount val="2"/>
                <c:pt idx="0">
                  <c:v>Support</c:v>
                </c:pt>
                <c:pt idx="1">
                  <c:v>Verification</c:v>
                </c:pt>
              </c:strCache>
            </c:strRef>
          </c:cat>
          <c:val>
            <c:numRef>
              <c:f>'Department Performance'!$B$9:$B$10</c:f>
              <c:numCache>
                <c:formatCode>General</c:formatCode>
                <c:ptCount val="2"/>
                <c:pt idx="0">
                  <c:v>741</c:v>
                </c:pt>
                <c:pt idx="1">
                  <c:v>619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920104"/>
        <c:axId val="403920496"/>
      </c:barChart>
      <c:catAx>
        <c:axId val="40392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920496"/>
        <c:crosses val="autoZero"/>
        <c:auto val="1"/>
        <c:lblAlgn val="ctr"/>
        <c:lblOffset val="100"/>
        <c:noMultiLvlLbl val="0"/>
      </c:catAx>
      <c:valAx>
        <c:axId val="40392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92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VS Resolved By Team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performance'!$B$11</c:f>
              <c:strCache>
                <c:ptCount val="1"/>
                <c:pt idx="0">
                  <c:v>Total Target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performance'!$A$12:$A$15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'Team performance'!$B$12:$B$15</c:f>
              <c:numCache>
                <c:formatCode>General</c:formatCode>
                <c:ptCount val="4"/>
                <c:pt idx="0">
                  <c:v>357</c:v>
                </c:pt>
                <c:pt idx="1">
                  <c:v>398</c:v>
                </c:pt>
                <c:pt idx="2">
                  <c:v>379</c:v>
                </c:pt>
                <c:pt idx="3">
                  <c:v>348</c:v>
                </c:pt>
              </c:numCache>
            </c:numRef>
          </c:val>
        </c:ser>
        <c:ser>
          <c:idx val="1"/>
          <c:order val="1"/>
          <c:tx>
            <c:strRef>
              <c:f>'Team performance'!$C$11</c:f>
              <c:strCache>
                <c:ptCount val="1"/>
                <c:pt idx="0">
                  <c:v>Total Resolved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'Team performance'!$A$12:$A$15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'Team performance'!$C$12:$C$15</c:f>
              <c:numCache>
                <c:formatCode>General</c:formatCode>
                <c:ptCount val="4"/>
                <c:pt idx="0">
                  <c:v>329</c:v>
                </c:pt>
                <c:pt idx="1">
                  <c:v>367</c:v>
                </c:pt>
                <c:pt idx="2">
                  <c:v>314</c:v>
                </c:pt>
                <c:pt idx="3">
                  <c:v>314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793800"/>
        <c:axId val="402794192"/>
      </c:barChart>
      <c:catAx>
        <c:axId val="40279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94192"/>
        <c:crosses val="autoZero"/>
        <c:auto val="1"/>
        <c:lblAlgn val="ctr"/>
        <c:lblOffset val="100"/>
        <c:noMultiLvlLbl val="0"/>
      </c:catAx>
      <c:valAx>
        <c:axId val="4027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9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Case Volume</a:t>
            </a:r>
            <a:r>
              <a:rPr lang="en-IN" baseline="0"/>
              <a:t> By Location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'QA Summary'!$B$10</c:f>
              <c:strCache>
                <c:ptCount val="1"/>
                <c:pt idx="0">
                  <c:v>Case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'QA Summary'!$A$11:$A$14</c:f>
              <c:strCache>
                <c:ptCount val="4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Mumbai</c:v>
                </c:pt>
              </c:strCache>
            </c:strRef>
          </c:cat>
          <c:val>
            <c:numRef>
              <c:f>'QA Summary'!$B$11:$B$14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160944"/>
        <c:axId val="401161336"/>
      </c:barChart>
      <c:catAx>
        <c:axId val="40116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61336"/>
        <c:crosses val="autoZero"/>
        <c:auto val="1"/>
        <c:lblAlgn val="ctr"/>
        <c:lblOffset val="100"/>
        <c:noMultiLvlLbl val="0"/>
      </c:catAx>
      <c:valAx>
        <c:axId val="40116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6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Resolved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Performance'!$B$8</c:f>
              <c:strCache>
                <c:ptCount val="1"/>
                <c:pt idx="0">
                  <c:v>Total Resolved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Performance'!$A$9:$A$10</c:f>
              <c:strCache>
                <c:ptCount val="2"/>
                <c:pt idx="0">
                  <c:v>Support</c:v>
                </c:pt>
                <c:pt idx="1">
                  <c:v>Verification</c:v>
                </c:pt>
              </c:strCache>
            </c:strRef>
          </c:cat>
          <c:val>
            <c:numRef>
              <c:f>'Department Performance'!$B$9:$B$10</c:f>
              <c:numCache>
                <c:formatCode>General</c:formatCode>
                <c:ptCount val="2"/>
                <c:pt idx="0">
                  <c:v>741</c:v>
                </c:pt>
                <c:pt idx="1">
                  <c:v>619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153888"/>
        <c:axId val="401160160"/>
      </c:barChart>
      <c:catAx>
        <c:axId val="4011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60160"/>
        <c:crosses val="autoZero"/>
        <c:auto val="1"/>
        <c:lblAlgn val="ctr"/>
        <c:lblOffset val="100"/>
        <c:noMultiLvlLbl val="0"/>
      </c:catAx>
      <c:valAx>
        <c:axId val="4011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5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3</xdr:row>
      <xdr:rowOff>45720</xdr:rowOff>
    </xdr:from>
    <xdr:to>
      <xdr:col>13</xdr:col>
      <xdr:colOff>91440</xdr:colOff>
      <xdr:row>17</xdr:row>
      <xdr:rowOff>167640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998220</xdr:colOff>
      <xdr:row>5</xdr:row>
      <xdr:rowOff>160020</xdr:rowOff>
    </xdr:from>
    <xdr:to>
      <xdr:col>10</xdr:col>
      <xdr:colOff>129540</xdr:colOff>
      <xdr:row>20</xdr:row>
      <xdr:rowOff>91440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5</xdr:row>
      <xdr:rowOff>167640</xdr:rowOff>
    </xdr:from>
    <xdr:to>
      <xdr:col>11</xdr:col>
      <xdr:colOff>518160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6</xdr:row>
      <xdr:rowOff>83820</xdr:rowOff>
    </xdr:from>
    <xdr:to>
      <xdr:col>7</xdr:col>
      <xdr:colOff>160020</xdr:colOff>
      <xdr:row>21</xdr:row>
      <xdr:rowOff>83820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6</xdr:row>
      <xdr:rowOff>76200</xdr:rowOff>
    </xdr:from>
    <xdr:to>
      <xdr:col>14</xdr:col>
      <xdr:colOff>457200</xdr:colOff>
      <xdr:row>21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6</xdr:row>
      <xdr:rowOff>76200</xdr:rowOff>
    </xdr:from>
    <xdr:to>
      <xdr:col>23</xdr:col>
      <xdr:colOff>121920</xdr:colOff>
      <xdr:row>21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ousuf Khan" refreshedDate="46259.608899884261" createdVersion="5" refreshedVersion="5" minRefreshableVersion="3" recordCount="33">
  <cacheSource type="worksheet">
    <worksheetSource name="RawData3"/>
  </cacheSource>
  <cacheFields count="20">
    <cacheField name="Case ID" numFmtId="0">
      <sharedItems containsString="0" containsBlank="1" containsNumber="1" containsInteger="1" minValue="3001" maxValue="3030"/>
    </cacheField>
    <cacheField name="Employee Name" numFmtId="0">
      <sharedItems containsBlank="1" count="31">
        <s v="  Arif Khan"/>
        <s v="Sneha Rao "/>
        <s v="Imran Ali"/>
        <s v="Priya Shah"/>
        <s v="Rahul Das"/>
        <s v="  Fatima Noor "/>
        <s v="Vikram Singh"/>
        <s v="Aisha Khan"/>
        <s v="Daniel Roy"/>
        <s v="Meera Nair"/>
        <s v="Omar Khan"/>
        <s v="Neha Patel"/>
        <s v="Zaid Ahmed"/>
        <s v="Kavya Rao"/>
        <s v="  Yusuf Ali"/>
        <s v="Arjun Mehta"/>
        <s v="Sana Khan"/>
        <s v="Ravi Kumar"/>
        <s v="Hina Sheikh"/>
        <s v="Mohan Rao"/>
        <s v="Arif Khan"/>
        <s v="Latha Devi"/>
        <s v="Sameer Ali"/>
        <s v="Pooja Shah"/>
        <s v="Nitin Das"/>
        <s v="Farah Noor"/>
        <s v="Karan Singh"/>
        <s v="Anita Roy"/>
        <s v="Bilal Khan"/>
        <s v="Divya Nair"/>
        <m/>
      </sharedItems>
    </cacheField>
    <cacheField name="Team" numFmtId="0">
      <sharedItems containsBlank="1" count="5">
        <s v="North"/>
        <s v="South"/>
        <s v="East"/>
        <s v="West"/>
        <m/>
      </sharedItems>
    </cacheField>
    <cacheField name="Department" numFmtId="0">
      <sharedItems containsBlank="1" count="3">
        <s v="Support"/>
        <s v="Verification"/>
        <m/>
      </sharedItems>
    </cacheField>
    <cacheField name="Channel" numFmtId="0">
      <sharedItems containsBlank="1"/>
    </cacheField>
    <cacheField name="Location" numFmtId="0">
      <sharedItems containsBlank="1" count="5">
        <s v="Hyderabad"/>
        <s v="Bengaluru"/>
        <s v="Chennai"/>
        <s v="Mumbai"/>
        <m/>
      </sharedItems>
    </cacheField>
    <cacheField name="Date" numFmtId="0">
      <sharedItems containsBlank="1"/>
    </cacheField>
    <cacheField name="Target" numFmtId="0">
      <sharedItems containsString="0" containsBlank="1" containsNumber="1" containsInteger="1" minValue="44" maxValue="55" count="13">
        <n v="50"/>
        <n v="45"/>
        <n v="55"/>
        <n v="48"/>
        <n v="52"/>
        <n v="44"/>
        <n v="47"/>
        <n v="51"/>
        <n v="49"/>
        <n v="46"/>
        <n v="53"/>
        <n v="54"/>
        <m/>
      </sharedItems>
    </cacheField>
    <cacheField name="Resolved" numFmtId="0">
      <sharedItems containsString="0" containsBlank="1" containsNumber="1" containsInteger="1" minValue="36" maxValue="54" count="17">
        <n v="47"/>
        <n v="43"/>
        <n v="51"/>
        <n v="39"/>
        <n v="54"/>
        <n v="36"/>
        <n v="46"/>
        <n v="45"/>
        <n v="42"/>
        <n v="48"/>
        <n v="40"/>
        <n v="49"/>
        <n v="44"/>
        <n v="52"/>
        <n v="41"/>
        <n v="50"/>
        <m/>
      </sharedItems>
    </cacheField>
    <cacheField name="QA Score" numFmtId="0">
      <sharedItems containsString="0" containsBlank="1" containsNumber="1" containsInteger="1" minValue="75" maxValue="97" count="23">
        <n v="91"/>
        <n v="88"/>
        <n v="94"/>
        <n v="76"/>
        <n v="93"/>
        <n v="85"/>
        <n v="89"/>
        <n v="96"/>
        <n v="81"/>
        <n v="95"/>
        <n v="79"/>
        <n v="92"/>
        <n v="87"/>
        <n v="90"/>
        <n v="97"/>
        <n v="83"/>
        <n v="78"/>
        <n v="86"/>
        <n v="84"/>
        <n v="75"/>
        <n v="82"/>
        <n v="77"/>
        <m/>
      </sharedItems>
    </cacheField>
    <cacheField name="Attendance" numFmtId="0">
      <sharedItems containsBlank="1"/>
    </cacheField>
    <cacheField name="Status" numFmtId="0">
      <sharedItems containsBlank="1"/>
    </cacheField>
    <cacheField name="Name" numFmtId="0">
      <sharedItems containsBlank="1"/>
    </cacheField>
    <cacheField name="Achievemnent" numFmtId="9">
      <sharedItems containsString="0" containsBlank="1" containsNumber="1" minValue="0.8125" maxValue="1.0384615384615385"/>
    </cacheField>
    <cacheField name="Perfromnace" numFmtId="0">
      <sharedItems containsBlank="1"/>
    </cacheField>
    <cacheField name="Below Target" numFmtId="0">
      <sharedItems containsString="0" containsBlank="1" containsNumber="1" containsInteger="1" minValue="9" maxValue="9"/>
    </cacheField>
    <cacheField name="Resolved2" numFmtId="0">
      <sharedItems containsString="0" containsBlank="1" containsNumber="1" containsInteger="1" minValue="367" maxValue="367"/>
    </cacheField>
    <cacheField name="Email" numFmtId="0">
      <sharedItems containsString="0" containsBlank="1" containsNumber="1" containsInteger="1" minValue="455" maxValue="455"/>
    </cacheField>
    <cacheField name="Vlookup1" numFmtId="0">
      <sharedItems containsBlank="1"/>
    </cacheField>
    <cacheField name="Vlookup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">
  <r>
    <n v="3001"/>
    <x v="0"/>
    <x v="0"/>
    <x v="0"/>
    <s v="Email"/>
    <x v="0"/>
    <s v="2026-08-24"/>
    <x v="0"/>
    <x v="0"/>
    <x v="0"/>
    <s v="Present"/>
    <s v="Closed"/>
    <s v="Arif Khan"/>
    <n v="0.94"/>
    <s v="Good"/>
    <n v="9"/>
    <n v="367"/>
    <n v="455"/>
    <s v="Manager North"/>
    <s v="Tier 1"/>
  </r>
  <r>
    <n v="3002"/>
    <x v="1"/>
    <x v="1"/>
    <x v="0"/>
    <s v="Chat"/>
    <x v="1"/>
    <s v="2026-08-24"/>
    <x v="1"/>
    <x v="1"/>
    <x v="1"/>
    <s v="Present"/>
    <s v="Closed"/>
    <s v="Sneha Rao"/>
    <n v="0.9555555555555556"/>
    <s v="Good"/>
    <n v="9"/>
    <n v="367"/>
    <n v="455"/>
    <s v="Manager South"/>
    <s v="Tier 2"/>
  </r>
  <r>
    <n v="3003"/>
    <x v="2"/>
    <x v="2"/>
    <x v="1"/>
    <s v="Phone"/>
    <x v="2"/>
    <s v="2026-08-24"/>
    <x v="2"/>
    <x v="2"/>
    <x v="2"/>
    <s v="Present"/>
    <s v="Closed"/>
    <s v="Imran Ali"/>
    <n v="0.92727272727272725"/>
    <s v="Good"/>
    <n v="9"/>
    <n v="367"/>
    <n v="455"/>
    <s v="Manager East"/>
    <s v="Tier 1"/>
  </r>
  <r>
    <n v="3004"/>
    <x v="3"/>
    <x v="3"/>
    <x v="0"/>
    <s v="Email"/>
    <x v="3"/>
    <s v="2026-08-24"/>
    <x v="3"/>
    <x v="3"/>
    <x v="3"/>
    <s v="Present"/>
    <s v="Closed"/>
    <s v="Priya Shah"/>
    <n v="0.8125"/>
    <s v="Below Target"/>
    <n v="9"/>
    <n v="367"/>
    <n v="455"/>
    <s v="Manager West"/>
    <s v="Tier 2"/>
  </r>
  <r>
    <n v="3005"/>
    <x v="4"/>
    <x v="0"/>
    <x v="1"/>
    <s v="Chat"/>
    <x v="0"/>
    <s v="2026-08-24"/>
    <x v="4"/>
    <x v="4"/>
    <x v="4"/>
    <s v="Present"/>
    <s v="Closed"/>
    <s v="Rahul Das"/>
    <n v="1.0384615384615385"/>
    <s v="Excellent"/>
    <n v="9"/>
    <n v="367"/>
    <n v="455"/>
    <s v="Manager North"/>
    <s v="Tier 1"/>
  </r>
  <r>
    <n v="3006"/>
    <x v="5"/>
    <x v="1"/>
    <x v="0"/>
    <s v="Phone"/>
    <x v="1"/>
    <s v="2026-08-24"/>
    <x v="5"/>
    <x v="5"/>
    <x v="5"/>
    <s v="Present"/>
    <s v="Closed"/>
    <s v="Fatima Noor"/>
    <n v="0.81818181818181823"/>
    <s v="Below Target"/>
    <n v="9"/>
    <n v="367"/>
    <n v="455"/>
    <s v="Manager South"/>
    <s v="Tier 2"/>
  </r>
  <r>
    <n v="3007"/>
    <x v="6"/>
    <x v="2"/>
    <x v="1"/>
    <s v="Email"/>
    <x v="2"/>
    <s v="2026-08-24"/>
    <x v="0"/>
    <x v="6"/>
    <x v="6"/>
    <s v="Absent"/>
    <s v="Closed"/>
    <s v="Vikram Singh"/>
    <n v="0.92"/>
    <s v="Good"/>
    <n v="9"/>
    <n v="367"/>
    <n v="455"/>
    <s v="Manager East"/>
    <s v="Tier 1"/>
  </r>
  <r>
    <n v="3008"/>
    <x v="7"/>
    <x v="3"/>
    <x v="0"/>
    <s v="Chat"/>
    <x v="3"/>
    <s v="2026-08-24"/>
    <x v="6"/>
    <x v="7"/>
    <x v="7"/>
    <s v="Present"/>
    <s v="Closed"/>
    <s v="Aisha Khan"/>
    <n v="0.95744680851063835"/>
    <s v="Good"/>
    <n v="9"/>
    <n v="367"/>
    <n v="455"/>
    <s v="Manager West"/>
    <s v="Tier 2"/>
  </r>
  <r>
    <n v="3009"/>
    <x v="8"/>
    <x v="0"/>
    <x v="0"/>
    <s v="Phone"/>
    <x v="0"/>
    <s v="2026-08-24"/>
    <x v="7"/>
    <x v="8"/>
    <x v="8"/>
    <s v="Present"/>
    <s v="Closed"/>
    <s v="Daniel Roy"/>
    <n v="0.82352941176470584"/>
    <s v="Below Target"/>
    <n v="9"/>
    <n v="367"/>
    <n v="455"/>
    <s v="Manager North"/>
    <s v="Tier 1"/>
  </r>
  <r>
    <n v="3010"/>
    <x v="9"/>
    <x v="1"/>
    <x v="1"/>
    <s v="Email"/>
    <x v="1"/>
    <s v="2026-08-24"/>
    <x v="8"/>
    <x v="9"/>
    <x v="9"/>
    <s v="Present"/>
    <s v="Closed"/>
    <s v="Meera Nair"/>
    <n v="0.97959183673469385"/>
    <s v="Good"/>
    <n v="9"/>
    <n v="367"/>
    <n v="455"/>
    <s v="Manager South"/>
    <s v="Tier 2"/>
  </r>
  <r>
    <n v="3011"/>
    <x v="10"/>
    <x v="2"/>
    <x v="0"/>
    <s v="Chat"/>
    <x v="2"/>
    <s v="2026-08-24"/>
    <x v="9"/>
    <x v="10"/>
    <x v="10"/>
    <s v="Present"/>
    <s v="Closed"/>
    <s v="Omar Khan"/>
    <n v="0.86956521739130432"/>
    <s v="Below Target"/>
    <n v="9"/>
    <n v="367"/>
    <n v="455"/>
    <s v="Manager East"/>
    <s v="Tier 1"/>
  </r>
  <r>
    <n v="3012"/>
    <x v="11"/>
    <x v="3"/>
    <x v="1"/>
    <s v="Phone"/>
    <x v="3"/>
    <s v="2026-08-24"/>
    <x v="10"/>
    <x v="11"/>
    <x v="11"/>
    <s v="Present"/>
    <s v="Closed"/>
    <s v="Neha Patel"/>
    <n v="0.92452830188679247"/>
    <s v="Good"/>
    <n v="9"/>
    <n v="367"/>
    <n v="455"/>
    <s v="Manager West"/>
    <s v="Tier 2"/>
  </r>
  <r>
    <n v="3013"/>
    <x v="12"/>
    <x v="0"/>
    <x v="1"/>
    <s v="Email"/>
    <x v="0"/>
    <s v="2026-08-24"/>
    <x v="3"/>
    <x v="7"/>
    <x v="12"/>
    <s v="Present"/>
    <s v="Closed"/>
    <s v="Zaid Ahmed"/>
    <n v="0.9375"/>
    <s v="Good"/>
    <n v="9"/>
    <n v="367"/>
    <n v="455"/>
    <s v="Manager North"/>
    <s v="Tier 1"/>
  </r>
  <r>
    <n v="3014"/>
    <x v="13"/>
    <x v="1"/>
    <x v="0"/>
    <s v="Chat"/>
    <x v="1"/>
    <s v="2026-08-24"/>
    <x v="0"/>
    <x v="12"/>
    <x v="13"/>
    <s v="Present"/>
    <s v="Closed"/>
    <s v="Kavya Rao"/>
    <n v="0.88"/>
    <s v="Below Target"/>
    <n v="9"/>
    <n v="367"/>
    <n v="455"/>
    <s v="Manager South"/>
    <s v="Tier 2"/>
  </r>
  <r>
    <n v="3015"/>
    <x v="14"/>
    <x v="2"/>
    <x v="0"/>
    <s v="Phone"/>
    <x v="2"/>
    <s v="2026-08-24"/>
    <x v="11"/>
    <x v="13"/>
    <x v="14"/>
    <s v="Present"/>
    <s v="Closed"/>
    <s v="Yusuf Ali"/>
    <n v="0.96296296296296291"/>
    <s v="Good"/>
    <n v="9"/>
    <n v="367"/>
    <n v="455"/>
    <s v="Manager East"/>
    <s v="Tier 1"/>
  </r>
  <r>
    <n v="3016"/>
    <x v="15"/>
    <x v="3"/>
    <x v="1"/>
    <s v="Email"/>
    <x v="3"/>
    <s v="2026-08-24"/>
    <x v="9"/>
    <x v="14"/>
    <x v="15"/>
    <s v="Present"/>
    <s v="Closed"/>
    <s v="Arjun Mehta"/>
    <n v="0.89130434782608692"/>
    <s v="Below Target"/>
    <n v="9"/>
    <n v="367"/>
    <n v="455"/>
    <s v="Manager West"/>
    <s v="Tier 2"/>
  </r>
  <r>
    <n v="3017"/>
    <x v="16"/>
    <x v="0"/>
    <x v="0"/>
    <s v="Chat"/>
    <x v="0"/>
    <s v="2026-08-24"/>
    <x v="8"/>
    <x v="12"/>
    <x v="16"/>
    <s v="Present"/>
    <s v="Closed"/>
    <s v="Sana Khan"/>
    <n v="0.89795918367346939"/>
    <s v="Below Target"/>
    <n v="9"/>
    <n v="367"/>
    <n v="455"/>
    <s v="Manager North"/>
    <s v="Tier 1"/>
  </r>
  <r>
    <n v="3018"/>
    <x v="17"/>
    <x v="1"/>
    <x v="1"/>
    <s v="Phone"/>
    <x v="1"/>
    <s v="2026-08-24"/>
    <x v="7"/>
    <x v="6"/>
    <x v="17"/>
    <s v="Present"/>
    <s v="Closed"/>
    <s v="Ravi Kumar"/>
    <n v="0.90196078431372551"/>
    <s v="Good"/>
    <n v="9"/>
    <n v="367"/>
    <n v="455"/>
    <s v="Manager South"/>
    <s v="Tier 2"/>
  </r>
  <r>
    <n v="3019"/>
    <x v="18"/>
    <x v="2"/>
    <x v="0"/>
    <s v="Email"/>
    <x v="2"/>
    <s v="2026-08-24"/>
    <x v="6"/>
    <x v="7"/>
    <x v="0"/>
    <s v="Present"/>
    <s v="Closed"/>
    <s v="Hina Sheikh"/>
    <n v="0.95744680851063835"/>
    <s v="Good"/>
    <n v="9"/>
    <n v="367"/>
    <n v="455"/>
    <s v="Manager East"/>
    <s v="Tier 1"/>
  </r>
  <r>
    <n v="3020"/>
    <x v="19"/>
    <x v="3"/>
    <x v="0"/>
    <s v="Chat"/>
    <x v="3"/>
    <s v="2026-08-24"/>
    <x v="4"/>
    <x v="9"/>
    <x v="6"/>
    <s v="Present"/>
    <s v="Closed"/>
    <s v="Mohan Rao"/>
    <n v="0.92307692307692313"/>
    <s v="Good"/>
    <n v="9"/>
    <n v="367"/>
    <n v="455"/>
    <s v="Manager West"/>
    <s v="Tier 2"/>
  </r>
  <r>
    <n v="3021"/>
    <x v="20"/>
    <x v="0"/>
    <x v="1"/>
    <s v="Phone"/>
    <x v="0"/>
    <s v="2026-08-24"/>
    <x v="0"/>
    <x v="0"/>
    <x v="0"/>
    <s v="Present"/>
    <s v="Closed"/>
    <s v="Arif Khan"/>
    <n v="0.94"/>
    <s v="Good"/>
    <n v="9"/>
    <n v="367"/>
    <n v="455"/>
    <s v="Manager North"/>
    <s v="Tier 1"/>
  </r>
  <r>
    <n v="3022"/>
    <x v="21"/>
    <x v="1"/>
    <x v="0"/>
    <s v="Email"/>
    <x v="1"/>
    <s v="2026-08-24"/>
    <x v="1"/>
    <x v="1"/>
    <x v="18"/>
    <s v="Present"/>
    <s v="Closed"/>
    <s v="Latha Devi"/>
    <n v="0.9555555555555556"/>
    <s v="Good"/>
    <n v="9"/>
    <n v="367"/>
    <n v="455"/>
    <s v="Manager South"/>
    <s v="Tier 2"/>
  </r>
  <r>
    <n v="3023"/>
    <x v="22"/>
    <x v="2"/>
    <x v="1"/>
    <s v="Chat"/>
    <x v="2"/>
    <s v="2026-08-24"/>
    <x v="2"/>
    <x v="15"/>
    <x v="4"/>
    <s v="Present"/>
    <s v="Closed"/>
    <s v="Sameer Ali"/>
    <n v="0.90909090909090906"/>
    <s v="Good"/>
    <n v="9"/>
    <n v="367"/>
    <n v="455"/>
    <s v="Manager East"/>
    <s v="Tier 1"/>
  </r>
  <r>
    <n v="3024"/>
    <x v="23"/>
    <x v="3"/>
    <x v="0"/>
    <s v="Phone"/>
    <x v="3"/>
    <s v="2026-08-24"/>
    <x v="3"/>
    <x v="10"/>
    <x v="19"/>
    <s v="Present"/>
    <s v="Closed"/>
    <s v="Pooja Shah"/>
    <n v="0.83333333333333337"/>
    <s v="Below Target"/>
    <n v="9"/>
    <n v="367"/>
    <n v="455"/>
    <s v="Manager West"/>
    <s v="Tier 2"/>
  </r>
  <r>
    <n v="3025"/>
    <x v="24"/>
    <x v="0"/>
    <x v="0"/>
    <s v="Email"/>
    <x v="0"/>
    <s v="2026-08-24"/>
    <x v="7"/>
    <x v="11"/>
    <x v="13"/>
    <s v="Present"/>
    <s v="Closed"/>
    <s v="Nitin Das"/>
    <n v="0.96078431372549022"/>
    <s v="Good"/>
    <n v="9"/>
    <n v="367"/>
    <n v="455"/>
    <s v="Manager North"/>
    <s v="Tier 1"/>
  </r>
  <r>
    <n v="3026"/>
    <x v="25"/>
    <x v="1"/>
    <x v="1"/>
    <s v="Chat"/>
    <x v="1"/>
    <s v="2026-08-24"/>
    <x v="9"/>
    <x v="12"/>
    <x v="7"/>
    <s v="Present"/>
    <s v="Closed"/>
    <s v="Farah Noor"/>
    <n v="0.95652173913043481"/>
    <s v="Good"/>
    <n v="9"/>
    <n v="367"/>
    <n v="455"/>
    <s v="Manager South"/>
    <s v="Tier 2"/>
  </r>
  <r>
    <n v="3027"/>
    <x v="26"/>
    <x v="2"/>
    <x v="0"/>
    <s v="Phone"/>
    <x v="2"/>
    <s v="2026-08-24"/>
    <x v="0"/>
    <x v="7"/>
    <x v="20"/>
    <s v="Present"/>
    <s v="Closed"/>
    <s v="Karan Singh"/>
    <n v="0.9"/>
    <s v="Good"/>
    <n v="9"/>
    <n v="367"/>
    <n v="455"/>
    <s v="Manager East"/>
    <s v="Tier 1"/>
  </r>
  <r>
    <n v="3028"/>
    <x v="27"/>
    <x v="3"/>
    <x v="1"/>
    <s v="Email"/>
    <x v="3"/>
    <s v="2026-08-24"/>
    <x v="11"/>
    <x v="13"/>
    <x v="2"/>
    <s v="Present"/>
    <s v="Closed"/>
    <s v="Anita Roy"/>
    <n v="0.96296296296296291"/>
    <s v="Good"/>
    <n v="9"/>
    <n v="367"/>
    <n v="455"/>
    <s v="Manager West"/>
    <s v="Tier 2"/>
  </r>
  <r>
    <n v="3029"/>
    <x v="28"/>
    <x v="0"/>
    <x v="0"/>
    <s v="Chat"/>
    <x v="0"/>
    <s v="2026-08-24"/>
    <x v="6"/>
    <x v="3"/>
    <x v="21"/>
    <s v="Present"/>
    <s v="Closed"/>
    <s v="Bilal Khan"/>
    <n v="0.82978723404255317"/>
    <s v="Below Target"/>
    <n v="9"/>
    <n v="367"/>
    <n v="455"/>
    <s v="Manager North"/>
    <s v="Tier 1"/>
  </r>
  <r>
    <n v="3030"/>
    <x v="29"/>
    <x v="1"/>
    <x v="1"/>
    <s v="Phone"/>
    <x v="1"/>
    <s v="2026-08-24"/>
    <x v="8"/>
    <x v="6"/>
    <x v="0"/>
    <s v="Present"/>
    <s v="Closed"/>
    <s v="Divya Nair"/>
    <n v="0.93877551020408168"/>
    <s v="Good"/>
    <n v="9"/>
    <n v="367"/>
    <n v="455"/>
    <s v="Manager South"/>
    <s v="Tier 2"/>
  </r>
  <r>
    <m/>
    <x v="30"/>
    <x v="4"/>
    <x v="2"/>
    <m/>
    <x v="4"/>
    <m/>
    <x v="12"/>
    <x v="16"/>
    <x v="22"/>
    <m/>
    <m/>
    <m/>
    <m/>
    <m/>
    <m/>
    <m/>
    <m/>
    <m/>
    <m/>
  </r>
  <r>
    <m/>
    <x v="30"/>
    <x v="4"/>
    <x v="2"/>
    <m/>
    <x v="4"/>
    <m/>
    <x v="12"/>
    <x v="16"/>
    <x v="22"/>
    <m/>
    <m/>
    <m/>
    <m/>
    <m/>
    <m/>
    <m/>
    <m/>
    <m/>
    <m/>
  </r>
  <r>
    <m/>
    <x v="30"/>
    <x v="4"/>
    <x v="2"/>
    <m/>
    <x v="4"/>
    <m/>
    <x v="12"/>
    <x v="16"/>
    <x v="2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D8" firstHeaderRow="0" firstDataRow="1" firstDataCol="1"/>
  <pivotFields count="20">
    <pivotField showAll="0"/>
    <pivotField showAll="0"/>
    <pivotField axis="axisRow" showAll="0">
      <items count="6">
        <item x="2"/>
        <item x="0"/>
        <item x="1"/>
        <item x="3"/>
        <item n="blank" h="1" x="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Target" fld="7" baseField="2" baseItem="0"/>
    <dataField name="Total Resolved" fld="8" baseField="2" baseItem="0"/>
    <dataField name="Average Achievment %" fld="13" subtotal="average" baseField="2" baseItem="0"/>
  </dataFields>
  <formats count="2">
    <format dxfId="14">
      <pivotArea collapsedLevelsAreSubtotals="1" fieldPosition="0">
        <references count="2">
          <reference field="4294967294" count="1" selected="0">
            <x v="2"/>
          </reference>
          <reference field="2" count="4">
            <x v="0"/>
            <x v="1"/>
            <x v="2"/>
            <x v="3"/>
          </reference>
        </references>
      </pivotArea>
    </format>
    <format dxfId="4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C8" firstHeaderRow="0" firstDataRow="1" firstDataCol="1"/>
  <pivotFields count="20">
    <pivotField showAll="0"/>
    <pivotField showAll="0">
      <items count="32">
        <item x="0"/>
        <item x="5"/>
        <item x="14"/>
        <item x="7"/>
        <item x="27"/>
        <item x="20"/>
        <item x="15"/>
        <item x="28"/>
        <item x="8"/>
        <item x="29"/>
        <item x="25"/>
        <item x="18"/>
        <item x="2"/>
        <item x="26"/>
        <item x="13"/>
        <item x="21"/>
        <item x="9"/>
        <item x="19"/>
        <item x="11"/>
        <item x="24"/>
        <item x="10"/>
        <item x="23"/>
        <item x="3"/>
        <item x="4"/>
        <item x="17"/>
        <item x="22"/>
        <item x="16"/>
        <item x="1"/>
        <item x="6"/>
        <item x="12"/>
        <item x="30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  <pivotField showAll="0"/>
    <pivotField dataField="1" showAll="0">
      <items count="14">
        <item x="5"/>
        <item x="1"/>
        <item x="9"/>
        <item x="6"/>
        <item x="3"/>
        <item x="8"/>
        <item x="0"/>
        <item x="7"/>
        <item x="4"/>
        <item x="10"/>
        <item x="11"/>
        <item x="2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rget" fld="7" subtotal="count" baseField="0" baseItem="0"/>
    <dataField name="Average of QA Score" fld="9" subtotal="average" baseField="5" baseItem="0"/>
  </dataFields>
  <formats count="3">
    <format dxfId="1">
      <pivotArea collapsedLevelsAreSubtotals="1" fieldPosition="0">
        <references count="2">
          <reference field="4294967294" count="1" selected="0">
            <x v="1"/>
          </reference>
          <reference field="5" count="4">
            <x v="0"/>
            <x v="1"/>
            <x v="2"/>
            <x v="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5" count="1">
            <x v="0"/>
          </reference>
        </references>
      </pivotArea>
    </format>
    <format dxfId="3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6" firstHeaderRow="0" firstDataRow="1" firstDataCol="1"/>
  <pivotFields count="20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>
      <items count="18">
        <item x="5"/>
        <item x="3"/>
        <item x="10"/>
        <item x="14"/>
        <item x="8"/>
        <item x="1"/>
        <item x="12"/>
        <item x="7"/>
        <item x="6"/>
        <item x="0"/>
        <item x="9"/>
        <item x="11"/>
        <item x="15"/>
        <item x="2"/>
        <item x="13"/>
        <item x="4"/>
        <item x="1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solved" fld="8" baseField="3" baseItem="0"/>
    <dataField name="Average of Achievemnent" fld="13" subtotal="average" baseField="3" baseItem="0"/>
  </dataFields>
  <formats count="2">
    <format dxfId="13">
      <pivotArea collapsedLevelsAreSubtotals="1" fieldPosition="0">
        <references count="2">
          <reference field="4294967294" count="1" selected="0">
            <x v="1"/>
          </reference>
          <reference field="3" count="2">
            <x v="0"/>
            <x v="1"/>
          </reference>
        </references>
      </pivotArea>
    </format>
    <format dxfId="0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awData3" displayName="RawData3" ref="A1:T34">
  <autoFilter ref="A1:T34"/>
  <tableColumns count="20">
    <tableColumn id="1" name="Case ID"/>
    <tableColumn id="2" name="Employee Name"/>
    <tableColumn id="3" name="Team"/>
    <tableColumn id="4" name="Department"/>
    <tableColumn id="5" name="Channel"/>
    <tableColumn id="6" name="Location"/>
    <tableColumn id="7" name="Date"/>
    <tableColumn id="8" name="Target"/>
    <tableColumn id="9" name="Resolved"/>
    <tableColumn id="10" name="QA Score"/>
    <tableColumn id="11" name="Attendance"/>
    <tableColumn id="12" name="Status"/>
    <tableColumn id="13" name="Name" dataDxfId="11">
      <calculatedColumnFormula>TRIM(RawData3[Employee Name])</calculatedColumnFormula>
    </tableColumn>
    <tableColumn id="14" name="Achievemnent" dataCellStyle="Percent">
      <calculatedColumnFormula>RawData3[[#This Row],[Resolved]]/RawData3[[#This Row],[Target]]</calculatedColumnFormula>
    </tableColumn>
    <tableColumn id="15" name="Perfromnace" dataDxfId="10">
      <calculatedColumnFormula>IF(RawData3[[#This Row],[Achievemnent]]&gt;=100%,"Excellent",IF(RawData3[[#This Row],[Achievemnent]]&gt;=90%,"Good","Below Target"))</calculatedColumnFormula>
    </tableColumn>
    <tableColumn id="16" name="Below Target" dataDxfId="9">
      <calculatedColumnFormula>COUNTIF(RawData3[Perfromnace],"Below Target")</calculatedColumnFormula>
    </tableColumn>
    <tableColumn id="17" name="Resolved2" dataDxfId="8">
      <calculatedColumnFormula>SUMIFS(RawData3[Resolved],RawData3[Team],"North")</calculatedColumnFormula>
    </tableColumn>
    <tableColumn id="18" name="Email" dataDxfId="7">
      <calculatedColumnFormula>SUMIFS(RawData3[Resolved],RawData3[Channel],"Email")</calculatedColumnFormula>
    </tableColumn>
    <tableColumn id="19" name="Vlookup1" dataDxfId="6">
      <calculatedColumnFormula>VLOOKUP(RawData3[Case ID],EmployeeMaster3[#All],3,FALSE)</calculatedColumnFormula>
    </tableColumn>
    <tableColumn id="20" name="Vlookup2" dataDxfId="5">
      <calculatedColumnFormula>VLOOKUP(A2:A31,EmployeeMaster3[#All],5,FALSE)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ployeeMaster3" displayName="EmployeeMaster3" ref="A1:E31">
  <autoFilter ref="A1:E31"/>
  <tableColumns count="5">
    <tableColumn id="1" name="Case ID"/>
    <tableColumn id="2" name="Employee Name"/>
    <tableColumn id="3" name="Manager"/>
    <tableColumn id="4" name="Shift"/>
    <tableColumn id="5" name="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5"/>
  <sheetViews>
    <sheetView workbookViewId="0">
      <selection activeCell="P8" sqref="P8"/>
    </sheetView>
  </sheetViews>
  <sheetFormatPr defaultRowHeight="14.4" x14ac:dyDescent="0.3"/>
  <cols>
    <col min="1" max="1" width="12.5546875" bestFit="1" customWidth="1"/>
    <col min="2" max="2" width="11" customWidth="1"/>
    <col min="3" max="3" width="13.33203125" customWidth="1"/>
    <col min="4" max="4" width="20.5546875" customWidth="1"/>
  </cols>
  <sheetData>
    <row r="2" spans="1:13" ht="15.6" x14ac:dyDescent="0.3">
      <c r="A2" s="7" t="s">
        <v>90</v>
      </c>
      <c r="B2" s="8"/>
      <c r="C2" s="8"/>
      <c r="D2" s="8"/>
    </row>
    <row r="3" spans="1:13" x14ac:dyDescent="0.3">
      <c r="A3" s="4" t="s">
        <v>81</v>
      </c>
      <c r="B3" t="s">
        <v>87</v>
      </c>
      <c r="C3" t="s">
        <v>88</v>
      </c>
      <c r="D3" t="s">
        <v>89</v>
      </c>
    </row>
    <row r="4" spans="1:13" x14ac:dyDescent="0.3">
      <c r="A4" s="5" t="s">
        <v>25</v>
      </c>
      <c r="B4" s="3">
        <v>357</v>
      </c>
      <c r="C4" s="3">
        <v>329</v>
      </c>
      <c r="D4" s="6">
        <v>0.92090551788979169</v>
      </c>
    </row>
    <row r="5" spans="1:13" ht="18" x14ac:dyDescent="0.35">
      <c r="A5" s="5" t="s">
        <v>13</v>
      </c>
      <c r="B5" s="3">
        <v>398</v>
      </c>
      <c r="C5" s="3">
        <v>367</v>
      </c>
      <c r="D5" s="6">
        <v>0.92100271020846958</v>
      </c>
      <c r="G5" s="9"/>
      <c r="H5" s="8"/>
      <c r="I5" s="8"/>
      <c r="J5" s="8"/>
      <c r="K5" s="8"/>
      <c r="L5" s="8"/>
      <c r="M5" s="8"/>
    </row>
    <row r="6" spans="1:13" x14ac:dyDescent="0.3">
      <c r="A6" s="5" t="s">
        <v>21</v>
      </c>
      <c r="B6" s="3">
        <v>379</v>
      </c>
      <c r="C6" s="3">
        <v>350</v>
      </c>
      <c r="D6" s="6">
        <v>0.92326784995948308</v>
      </c>
    </row>
    <row r="7" spans="1:13" x14ac:dyDescent="0.3">
      <c r="A7" s="5" t="s">
        <v>30</v>
      </c>
      <c r="B7" s="3">
        <v>348</v>
      </c>
      <c r="C7" s="3">
        <v>314</v>
      </c>
      <c r="D7" s="6">
        <v>0.90073609679953381</v>
      </c>
    </row>
    <row r="8" spans="1:13" x14ac:dyDescent="0.3">
      <c r="A8" s="5" t="s">
        <v>82</v>
      </c>
      <c r="B8" s="3">
        <v>1482</v>
      </c>
      <c r="C8" s="3">
        <v>1360</v>
      </c>
      <c r="D8" s="6">
        <v>0.91685519280562988</v>
      </c>
    </row>
    <row r="10" spans="1:13" ht="15" thickBot="1" x14ac:dyDescent="0.35"/>
    <row r="11" spans="1:13" x14ac:dyDescent="0.3">
      <c r="A11" s="10" t="s">
        <v>99</v>
      </c>
      <c r="B11" s="19" t="s">
        <v>100</v>
      </c>
      <c r="C11" s="11" t="s">
        <v>88</v>
      </c>
    </row>
    <row r="12" spans="1:13" x14ac:dyDescent="0.3">
      <c r="A12" s="12" t="s">
        <v>25</v>
      </c>
      <c r="B12" s="20">
        <v>357</v>
      </c>
      <c r="C12" s="13">
        <v>329</v>
      </c>
    </row>
    <row r="13" spans="1:13" x14ac:dyDescent="0.3">
      <c r="A13" s="12" t="s">
        <v>13</v>
      </c>
      <c r="B13" s="20">
        <v>398</v>
      </c>
      <c r="C13" s="13">
        <v>367</v>
      </c>
    </row>
    <row r="14" spans="1:13" x14ac:dyDescent="0.3">
      <c r="A14" s="12" t="s">
        <v>21</v>
      </c>
      <c r="B14" s="20">
        <v>379</v>
      </c>
      <c r="C14" s="13">
        <v>314</v>
      </c>
    </row>
    <row r="15" spans="1:13" ht="15" thickBot="1" x14ac:dyDescent="0.35">
      <c r="A15" s="14" t="s">
        <v>30</v>
      </c>
      <c r="B15" s="21">
        <v>348</v>
      </c>
      <c r="C15" s="15">
        <v>314</v>
      </c>
    </row>
  </sheetData>
  <mergeCells count="2">
    <mergeCell ref="A2:D2"/>
    <mergeCell ref="G5:M5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workbookViewId="0">
      <selection activeCell="O12" sqref="O12"/>
    </sheetView>
  </sheetViews>
  <sheetFormatPr defaultRowHeight="14.4" x14ac:dyDescent="0.3"/>
  <cols>
    <col min="1" max="1" width="12.5546875" customWidth="1"/>
    <col min="2" max="2" width="14.21875" customWidth="1"/>
    <col min="3" max="3" width="18.44140625" customWidth="1"/>
    <col min="4" max="4" width="15.5546875" bestFit="1" customWidth="1"/>
    <col min="5" max="5" width="15.5546875" customWidth="1"/>
    <col min="6" max="6" width="10.77734375" customWidth="1"/>
    <col min="7" max="7" width="10.77734375" bestFit="1" customWidth="1"/>
  </cols>
  <sheetData>
    <row r="2" spans="1:10" ht="18" x14ac:dyDescent="0.35">
      <c r="A2" s="9" t="s">
        <v>91</v>
      </c>
      <c r="B2" s="8"/>
      <c r="C2" s="8"/>
    </row>
    <row r="3" spans="1:10" x14ac:dyDescent="0.3">
      <c r="A3" s="4" t="s">
        <v>81</v>
      </c>
      <c r="B3" t="s">
        <v>83</v>
      </c>
      <c r="C3" t="s">
        <v>86</v>
      </c>
    </row>
    <row r="4" spans="1:10" x14ac:dyDescent="0.3">
      <c r="A4" s="5" t="s">
        <v>23</v>
      </c>
      <c r="B4" s="3">
        <v>8</v>
      </c>
      <c r="C4" s="6">
        <v>89.375</v>
      </c>
    </row>
    <row r="5" spans="1:10" x14ac:dyDescent="0.3">
      <c r="A5" s="5" t="s">
        <v>28</v>
      </c>
      <c r="B5" s="3">
        <v>7</v>
      </c>
      <c r="C5" s="6">
        <v>89.285714285714292</v>
      </c>
    </row>
    <row r="6" spans="1:10" x14ac:dyDescent="0.3">
      <c r="A6" s="5" t="s">
        <v>16</v>
      </c>
      <c r="B6" s="3">
        <v>8</v>
      </c>
      <c r="C6" s="6">
        <v>86</v>
      </c>
    </row>
    <row r="7" spans="1:10" ht="18" x14ac:dyDescent="0.35">
      <c r="A7" s="5" t="s">
        <v>31</v>
      </c>
      <c r="B7" s="3">
        <v>7</v>
      </c>
      <c r="C7" s="6">
        <v>86.428571428571431</v>
      </c>
      <c r="E7" s="9" t="s">
        <v>92</v>
      </c>
      <c r="F7" s="8"/>
      <c r="G7" s="8"/>
      <c r="H7" s="8"/>
      <c r="I7" s="8"/>
      <c r="J7" s="8"/>
    </row>
    <row r="8" spans="1:10" x14ac:dyDescent="0.3">
      <c r="A8" s="5" t="s">
        <v>82</v>
      </c>
      <c r="B8" s="3">
        <v>30</v>
      </c>
      <c r="C8" s="6">
        <v>87.766666666666666</v>
      </c>
    </row>
    <row r="9" spans="1:10" ht="15" thickBot="1" x14ac:dyDescent="0.35"/>
    <row r="10" spans="1:10" ht="15" thickBot="1" x14ac:dyDescent="0.35">
      <c r="A10" s="16" t="s">
        <v>93</v>
      </c>
      <c r="B10" s="17" t="s">
        <v>94</v>
      </c>
    </row>
    <row r="11" spans="1:10" x14ac:dyDescent="0.3">
      <c r="A11" s="10" t="s">
        <v>23</v>
      </c>
      <c r="B11" s="11">
        <v>8</v>
      </c>
    </row>
    <row r="12" spans="1:10" x14ac:dyDescent="0.3">
      <c r="A12" s="12" t="s">
        <v>28</v>
      </c>
      <c r="B12" s="13">
        <v>7</v>
      </c>
    </row>
    <row r="13" spans="1:10" x14ac:dyDescent="0.3">
      <c r="A13" s="12" t="s">
        <v>16</v>
      </c>
      <c r="B13" s="13">
        <v>8</v>
      </c>
    </row>
    <row r="14" spans="1:10" x14ac:dyDescent="0.3">
      <c r="A14" s="12" t="s">
        <v>31</v>
      </c>
      <c r="B14" s="13">
        <v>7</v>
      </c>
    </row>
    <row r="15" spans="1:10" ht="15" thickBot="1" x14ac:dyDescent="0.35">
      <c r="A15" s="14"/>
      <c r="B15" s="15"/>
    </row>
  </sheetData>
  <mergeCells count="2">
    <mergeCell ref="A2:C2"/>
    <mergeCell ref="E7:J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tabSelected="1" workbookViewId="0">
      <selection activeCell="C24" sqref="C24"/>
    </sheetView>
  </sheetViews>
  <sheetFormatPr defaultRowHeight="14.4" x14ac:dyDescent="0.3"/>
  <cols>
    <col min="1" max="1" width="12.5546875" customWidth="1"/>
    <col min="2" max="2" width="15.109375" customWidth="1"/>
    <col min="3" max="3" width="23.109375" bestFit="1" customWidth="1"/>
  </cols>
  <sheetData>
    <row r="2" spans="1:3" ht="18" x14ac:dyDescent="0.35">
      <c r="A2" s="9" t="s">
        <v>95</v>
      </c>
      <c r="B2" s="8"/>
      <c r="C2" s="8"/>
    </row>
    <row r="3" spans="1:3" x14ac:dyDescent="0.3">
      <c r="A3" s="4" t="s">
        <v>81</v>
      </c>
      <c r="B3" t="s">
        <v>84</v>
      </c>
      <c r="C3" t="s">
        <v>85</v>
      </c>
    </row>
    <row r="4" spans="1:3" x14ac:dyDescent="0.3">
      <c r="A4" s="5" t="s">
        <v>14</v>
      </c>
      <c r="B4" s="3">
        <v>741</v>
      </c>
      <c r="C4" s="6">
        <v>0.89868736036970309</v>
      </c>
    </row>
    <row r="5" spans="1:3" x14ac:dyDescent="0.3">
      <c r="A5" s="5" t="s">
        <v>26</v>
      </c>
      <c r="B5" s="3">
        <v>619</v>
      </c>
      <c r="C5" s="6">
        <v>0.94061312752953496</v>
      </c>
    </row>
    <row r="6" spans="1:3" x14ac:dyDescent="0.3">
      <c r="A6" s="5" t="s">
        <v>82</v>
      </c>
      <c r="B6" s="3">
        <v>1360</v>
      </c>
      <c r="C6" s="6">
        <v>0.91685519280563033</v>
      </c>
    </row>
    <row r="7" spans="1:3" ht="15" thickBot="1" x14ac:dyDescent="0.35"/>
    <row r="8" spans="1:3" x14ac:dyDescent="0.3">
      <c r="A8" s="10" t="s">
        <v>3</v>
      </c>
      <c r="B8" s="11" t="s">
        <v>88</v>
      </c>
    </row>
    <row r="9" spans="1:3" x14ac:dyDescent="0.3">
      <c r="A9" s="12" t="s">
        <v>14</v>
      </c>
      <c r="B9" s="13">
        <v>741</v>
      </c>
    </row>
    <row r="10" spans="1:3" ht="15" thickBot="1" x14ac:dyDescent="0.35">
      <c r="A10" s="14" t="s">
        <v>26</v>
      </c>
      <c r="B10" s="15">
        <v>619</v>
      </c>
    </row>
  </sheetData>
  <mergeCells count="1">
    <mergeCell ref="A2:C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opLeftCell="A2" workbookViewId="0">
      <selection activeCell="U28" sqref="U28"/>
    </sheetView>
  </sheetViews>
  <sheetFormatPr defaultRowHeight="14.4" x14ac:dyDescent="0.3"/>
  <cols>
    <col min="1" max="1" width="11.21875" customWidth="1"/>
  </cols>
  <sheetData>
    <row r="1" spans="1:10" x14ac:dyDescent="0.3">
      <c r="A1" t="s">
        <v>96</v>
      </c>
    </row>
    <row r="2" spans="1:10" ht="23.4" x14ac:dyDescent="0.45">
      <c r="A2" s="18" t="s">
        <v>97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3">
      <c r="A4" t="s">
        <v>87</v>
      </c>
      <c r="C4" t="s">
        <v>88</v>
      </c>
      <c r="F4" t="s">
        <v>98</v>
      </c>
      <c r="H4" t="s">
        <v>9</v>
      </c>
    </row>
    <row r="5" spans="1:10" x14ac:dyDescent="0.3">
      <c r="A5">
        <f>SUM(Raw_Data!H2:H31)</f>
        <v>1482</v>
      </c>
      <c r="C5">
        <f>SUM(Raw_Data!I2:I31)</f>
        <v>1360</v>
      </c>
      <c r="F5" s="2">
        <f>C5/A5</f>
        <v>0.91767881241565452</v>
      </c>
      <c r="H5">
        <f>AVERAGE(Raw_Data!J8:J31)</f>
        <v>87.75</v>
      </c>
    </row>
  </sheetData>
  <mergeCells count="1">
    <mergeCell ref="A2:J2"/>
  </mergeCells>
  <pageMargins left="0.7" right="0.7" top="0.75" bottom="0.75" header="0.3" footer="0.3"/>
  <ignoredErrors>
    <ignoredError sqref="H5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workbookViewId="0">
      <pane ySplit="1" topLeftCell="A8" activePane="bottomLeft" state="frozen"/>
      <selection pane="bottomLeft" activeCell="J2" sqref="J2"/>
    </sheetView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14" customWidth="1"/>
    <col min="5" max="12" width="12" customWidth="1"/>
    <col min="13" max="13" width="12.33203125" customWidth="1"/>
    <col min="14" max="14" width="17.33203125" customWidth="1"/>
    <col min="15" max="15" width="15.77734375" customWidth="1"/>
    <col min="19" max="19" width="19.88671875" customWidth="1"/>
    <col min="20" max="20" width="15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15</v>
      </c>
      <c r="S1" t="s">
        <v>79</v>
      </c>
      <c r="T1" t="s">
        <v>80</v>
      </c>
    </row>
    <row r="2" spans="1:20" x14ac:dyDescent="0.3">
      <c r="A2">
        <v>3001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50</v>
      </c>
      <c r="I2">
        <v>47</v>
      </c>
      <c r="J2">
        <v>91</v>
      </c>
      <c r="K2" t="s">
        <v>18</v>
      </c>
      <c r="L2" t="s">
        <v>19</v>
      </c>
      <c r="M2" t="str">
        <f>TRIM(RawData3[Employee Name])</f>
        <v>Arif Khan</v>
      </c>
      <c r="N2" s="2">
        <f>RawData3[[#This Row],[Resolved]]/RawData3[[#This Row],[Target]]</f>
        <v>0.94</v>
      </c>
      <c r="O2" t="str">
        <f>IF(RawData3[[#This Row],[Achievemnent]]&gt;=100%,"Excellent",IF(RawData3[[#This Row],[Achievemnent]]&gt;=90%,"Good","Below Target"))</f>
        <v>Good</v>
      </c>
      <c r="P2">
        <f>COUNTIF(RawData3[Perfromnace],"Below Target")</f>
        <v>9</v>
      </c>
      <c r="Q2" s="3">
        <f>SUMIFS(RawData3[Resolved],RawData3[Team],"North")</f>
        <v>367</v>
      </c>
      <c r="R2" s="3">
        <f>SUMIFS(RawData3[Resolved],RawData3[Channel],"Email")</f>
        <v>455</v>
      </c>
      <c r="S2" s="3" t="str">
        <f>VLOOKUP(RawData3[Case ID],EmployeeMaster3[#All],3,FALSE)</f>
        <v>Manager North</v>
      </c>
      <c r="T2" s="3" t="str">
        <f>VLOOKUP(A2:A31,EmployeeMaster3[#All],5,FALSE)</f>
        <v>Tier 1</v>
      </c>
    </row>
    <row r="3" spans="1:20" x14ac:dyDescent="0.3">
      <c r="A3">
        <v>3002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17</v>
      </c>
      <c r="H3">
        <v>45</v>
      </c>
      <c r="I3">
        <v>43</v>
      </c>
      <c r="J3">
        <v>88</v>
      </c>
      <c r="K3" t="s">
        <v>18</v>
      </c>
      <c r="L3" t="s">
        <v>19</v>
      </c>
      <c r="M3" t="str">
        <f>TRIM(RawData3[Employee Name])</f>
        <v>Sneha Rao</v>
      </c>
      <c r="N3" s="2">
        <f>RawData3[[#This Row],[Resolved]]/RawData3[[#This Row],[Target]]</f>
        <v>0.9555555555555556</v>
      </c>
      <c r="O3" t="str">
        <f>IF(RawData3[[#This Row],[Achievemnent]]&gt;=100%,"Excellent",IF(RawData3[[#This Row],[Achievemnent]]&gt;=90%,"Good","Below Target"))</f>
        <v>Good</v>
      </c>
      <c r="P3">
        <f>COUNTIF(RawData3[Perfromnace],"Below Target")</f>
        <v>9</v>
      </c>
      <c r="Q3" s="3">
        <f>SUMIFS(RawData3[Resolved],RawData3[Team],"North")</f>
        <v>367</v>
      </c>
      <c r="R3" s="3">
        <f>SUMIFS(RawData3[Resolved],RawData3[Channel],"Email")</f>
        <v>455</v>
      </c>
      <c r="S3" s="3" t="str">
        <f>VLOOKUP(RawData3[Case ID],EmployeeMaster3[#All],3,FALSE)</f>
        <v>Manager South</v>
      </c>
      <c r="T3" s="3" t="str">
        <f>VLOOKUP(A3:A32,EmployeeMaster3[#All],5,FALSE)</f>
        <v>Tier 2</v>
      </c>
    </row>
    <row r="4" spans="1:20" x14ac:dyDescent="0.3">
      <c r="A4">
        <v>3003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17</v>
      </c>
      <c r="H4">
        <v>55</v>
      </c>
      <c r="I4">
        <v>51</v>
      </c>
      <c r="J4">
        <v>94</v>
      </c>
      <c r="K4" t="s">
        <v>18</v>
      </c>
      <c r="L4" t="s">
        <v>19</v>
      </c>
      <c r="M4" t="str">
        <f>TRIM(RawData3[Employee Name])</f>
        <v>Imran Ali</v>
      </c>
      <c r="N4" s="2">
        <f>RawData3[[#This Row],[Resolved]]/RawData3[[#This Row],[Target]]</f>
        <v>0.92727272727272725</v>
      </c>
      <c r="O4" t="str">
        <f>IF(RawData3[[#This Row],[Achievemnent]]&gt;=100%,"Excellent",IF(RawData3[[#This Row],[Achievemnent]]&gt;=90%,"Good","Below Target"))</f>
        <v>Good</v>
      </c>
      <c r="P4">
        <f>COUNTIF(RawData3[Perfromnace],"Below Target")</f>
        <v>9</v>
      </c>
      <c r="Q4" s="3">
        <f>SUMIFS(RawData3[Resolved],RawData3[Team],"North")</f>
        <v>367</v>
      </c>
      <c r="R4" s="3">
        <f>SUMIFS(RawData3[Resolved],RawData3[Channel],"Email")</f>
        <v>455</v>
      </c>
      <c r="S4" s="3" t="str">
        <f>VLOOKUP(RawData3[Case ID],EmployeeMaster3[#All],3,FALSE)</f>
        <v>Manager East</v>
      </c>
      <c r="T4" s="3" t="str">
        <f>VLOOKUP(A4:A33,EmployeeMaster3[#All],5,FALSE)</f>
        <v>Tier 1</v>
      </c>
    </row>
    <row r="5" spans="1:20" x14ac:dyDescent="0.3">
      <c r="A5">
        <v>3004</v>
      </c>
      <c r="B5" t="s">
        <v>29</v>
      </c>
      <c r="C5" t="s">
        <v>30</v>
      </c>
      <c r="D5" t="s">
        <v>14</v>
      </c>
      <c r="E5" t="s">
        <v>15</v>
      </c>
      <c r="F5" t="s">
        <v>31</v>
      </c>
      <c r="G5" t="s">
        <v>17</v>
      </c>
      <c r="H5">
        <v>48</v>
      </c>
      <c r="I5">
        <v>39</v>
      </c>
      <c r="J5">
        <v>76</v>
      </c>
      <c r="K5" t="s">
        <v>18</v>
      </c>
      <c r="L5" t="s">
        <v>19</v>
      </c>
      <c r="M5" t="str">
        <f>TRIM(RawData3[Employee Name])</f>
        <v>Priya Shah</v>
      </c>
      <c r="N5" s="2">
        <f>RawData3[[#This Row],[Resolved]]/RawData3[[#This Row],[Target]]</f>
        <v>0.8125</v>
      </c>
      <c r="O5" t="str">
        <f>IF(RawData3[[#This Row],[Achievemnent]]&gt;=100%,"Excellent",IF(RawData3[[#This Row],[Achievemnent]]&gt;=90%,"Good","Below Target"))</f>
        <v>Below Target</v>
      </c>
      <c r="P5">
        <f>COUNTIF(RawData3[Perfromnace],"Below Target")</f>
        <v>9</v>
      </c>
      <c r="Q5" s="3">
        <f>SUMIFS(RawData3[Resolved],RawData3[Team],"North")</f>
        <v>367</v>
      </c>
      <c r="R5" s="3">
        <f>SUMIFS(RawData3[Resolved],RawData3[Channel],"Email")</f>
        <v>455</v>
      </c>
      <c r="S5" s="3" t="str">
        <f>VLOOKUP(RawData3[Case ID],EmployeeMaster3[#All],3,FALSE)</f>
        <v>Manager West</v>
      </c>
      <c r="T5" s="3" t="str">
        <f>VLOOKUP(A5:A34,EmployeeMaster3[#All],5,FALSE)</f>
        <v>Tier 2</v>
      </c>
    </row>
    <row r="6" spans="1:20" x14ac:dyDescent="0.3">
      <c r="A6">
        <v>3005</v>
      </c>
      <c r="B6" t="s">
        <v>32</v>
      </c>
      <c r="C6" t="s">
        <v>13</v>
      </c>
      <c r="D6" t="s">
        <v>26</v>
      </c>
      <c r="E6" t="s">
        <v>22</v>
      </c>
      <c r="F6" t="s">
        <v>16</v>
      </c>
      <c r="G6" t="s">
        <v>17</v>
      </c>
      <c r="H6">
        <v>52</v>
      </c>
      <c r="I6">
        <v>54</v>
      </c>
      <c r="J6">
        <v>93</v>
      </c>
      <c r="K6" t="s">
        <v>18</v>
      </c>
      <c r="L6" t="s">
        <v>19</v>
      </c>
      <c r="M6" t="str">
        <f>TRIM(RawData3[Employee Name])</f>
        <v>Rahul Das</v>
      </c>
      <c r="N6" s="2">
        <f>RawData3[[#This Row],[Resolved]]/RawData3[[#This Row],[Target]]</f>
        <v>1.0384615384615385</v>
      </c>
      <c r="O6" t="str">
        <f>IF(RawData3[[#This Row],[Achievemnent]]&gt;=100%,"Excellent",IF(RawData3[[#This Row],[Achievemnent]]&gt;=90%,"Good","Below Target"))</f>
        <v>Excellent</v>
      </c>
      <c r="P6">
        <f>COUNTIF(RawData3[Perfromnace],"Below Target")</f>
        <v>9</v>
      </c>
      <c r="Q6" s="3">
        <f>SUMIFS(RawData3[Resolved],RawData3[Team],"North")</f>
        <v>367</v>
      </c>
      <c r="R6" s="3">
        <f>SUMIFS(RawData3[Resolved],RawData3[Channel],"Email")</f>
        <v>455</v>
      </c>
      <c r="S6" s="3" t="str">
        <f>VLOOKUP(RawData3[Case ID],EmployeeMaster3[#All],3,FALSE)</f>
        <v>Manager North</v>
      </c>
      <c r="T6" s="3" t="str">
        <f>VLOOKUP(A6:A35,EmployeeMaster3[#All],5,FALSE)</f>
        <v>Tier 1</v>
      </c>
    </row>
    <row r="7" spans="1:20" x14ac:dyDescent="0.3">
      <c r="A7">
        <v>3006</v>
      </c>
      <c r="B7" t="s">
        <v>33</v>
      </c>
      <c r="C7" t="s">
        <v>21</v>
      </c>
      <c r="D7" t="s">
        <v>14</v>
      </c>
      <c r="E7" t="s">
        <v>27</v>
      </c>
      <c r="F7" t="s">
        <v>23</v>
      </c>
      <c r="G7" t="s">
        <v>17</v>
      </c>
      <c r="H7">
        <v>44</v>
      </c>
      <c r="I7">
        <v>36</v>
      </c>
      <c r="J7">
        <v>85</v>
      </c>
      <c r="K7" t="s">
        <v>18</v>
      </c>
      <c r="L7" t="s">
        <v>19</v>
      </c>
      <c r="M7" t="str">
        <f>TRIM(RawData3[Employee Name])</f>
        <v>Fatima Noor</v>
      </c>
      <c r="N7" s="2">
        <f>RawData3[[#This Row],[Resolved]]/RawData3[[#This Row],[Target]]</f>
        <v>0.81818181818181823</v>
      </c>
      <c r="O7" t="str">
        <f>IF(RawData3[[#This Row],[Achievemnent]]&gt;=100%,"Excellent",IF(RawData3[[#This Row],[Achievemnent]]&gt;=90%,"Good","Below Target"))</f>
        <v>Below Target</v>
      </c>
      <c r="P7">
        <f>COUNTIF(RawData3[Perfromnace],"Below Target")</f>
        <v>9</v>
      </c>
      <c r="Q7" s="3">
        <f>SUMIFS(RawData3[Resolved],RawData3[Team],"North")</f>
        <v>367</v>
      </c>
      <c r="R7" s="3">
        <f>SUMIFS(RawData3[Resolved],RawData3[Channel],"Email")</f>
        <v>455</v>
      </c>
      <c r="S7" s="3" t="str">
        <f>VLOOKUP(RawData3[Case ID],EmployeeMaster3[#All],3,FALSE)</f>
        <v>Manager South</v>
      </c>
      <c r="T7" s="3" t="str">
        <f>VLOOKUP(A7:A36,EmployeeMaster3[#All],5,FALSE)</f>
        <v>Tier 2</v>
      </c>
    </row>
    <row r="8" spans="1:20" x14ac:dyDescent="0.3">
      <c r="A8">
        <v>3007</v>
      </c>
      <c r="B8" t="s">
        <v>34</v>
      </c>
      <c r="C8" t="s">
        <v>25</v>
      </c>
      <c r="D8" t="s">
        <v>26</v>
      </c>
      <c r="E8" t="s">
        <v>15</v>
      </c>
      <c r="F8" t="s">
        <v>28</v>
      </c>
      <c r="G8" t="s">
        <v>17</v>
      </c>
      <c r="H8">
        <v>50</v>
      </c>
      <c r="I8">
        <v>46</v>
      </c>
      <c r="J8">
        <v>89</v>
      </c>
      <c r="K8" t="s">
        <v>35</v>
      </c>
      <c r="L8" t="s">
        <v>19</v>
      </c>
      <c r="M8" t="str">
        <f>TRIM(RawData3[Employee Name])</f>
        <v>Vikram Singh</v>
      </c>
      <c r="N8" s="2">
        <f>RawData3[[#This Row],[Resolved]]/RawData3[[#This Row],[Target]]</f>
        <v>0.92</v>
      </c>
      <c r="O8" t="str">
        <f>IF(RawData3[[#This Row],[Achievemnent]]&gt;=100%,"Excellent",IF(RawData3[[#This Row],[Achievemnent]]&gt;=90%,"Good","Below Target"))</f>
        <v>Good</v>
      </c>
      <c r="P8">
        <f>COUNTIF(RawData3[Perfromnace],"Below Target")</f>
        <v>9</v>
      </c>
      <c r="Q8" s="3">
        <f>SUMIFS(RawData3[Resolved],RawData3[Team],"North")</f>
        <v>367</v>
      </c>
      <c r="R8" s="3">
        <f>SUMIFS(RawData3[Resolved],RawData3[Channel],"Email")</f>
        <v>455</v>
      </c>
      <c r="S8" s="3" t="str">
        <f>VLOOKUP(RawData3[Case ID],EmployeeMaster3[#All],3,FALSE)</f>
        <v>Manager East</v>
      </c>
      <c r="T8" s="3" t="str">
        <f>VLOOKUP(A8:A37,EmployeeMaster3[#All],5,FALSE)</f>
        <v>Tier 1</v>
      </c>
    </row>
    <row r="9" spans="1:20" x14ac:dyDescent="0.3">
      <c r="A9">
        <v>3008</v>
      </c>
      <c r="B9" t="s">
        <v>36</v>
      </c>
      <c r="C9" t="s">
        <v>30</v>
      </c>
      <c r="D9" t="s">
        <v>14</v>
      </c>
      <c r="E9" t="s">
        <v>22</v>
      </c>
      <c r="F9" t="s">
        <v>31</v>
      </c>
      <c r="G9" t="s">
        <v>17</v>
      </c>
      <c r="H9">
        <v>47</v>
      </c>
      <c r="I9">
        <v>45</v>
      </c>
      <c r="J9">
        <v>96</v>
      </c>
      <c r="K9" t="s">
        <v>18</v>
      </c>
      <c r="L9" t="s">
        <v>19</v>
      </c>
      <c r="M9" t="str">
        <f>TRIM(RawData3[Employee Name])</f>
        <v>Aisha Khan</v>
      </c>
      <c r="N9" s="2">
        <f>RawData3[[#This Row],[Resolved]]/RawData3[[#This Row],[Target]]</f>
        <v>0.95744680851063835</v>
      </c>
      <c r="O9" t="str">
        <f>IF(RawData3[[#This Row],[Achievemnent]]&gt;=100%,"Excellent",IF(RawData3[[#This Row],[Achievemnent]]&gt;=90%,"Good","Below Target"))</f>
        <v>Good</v>
      </c>
      <c r="P9">
        <f>COUNTIF(RawData3[Perfromnace],"Below Target")</f>
        <v>9</v>
      </c>
      <c r="Q9" s="3">
        <f>SUMIFS(RawData3[Resolved],RawData3[Team],"North")</f>
        <v>367</v>
      </c>
      <c r="R9" s="3">
        <f>SUMIFS(RawData3[Resolved],RawData3[Channel],"Email")</f>
        <v>455</v>
      </c>
      <c r="S9" s="3" t="str">
        <f>VLOOKUP(RawData3[Case ID],EmployeeMaster3[#All],3,FALSE)</f>
        <v>Manager West</v>
      </c>
      <c r="T9" s="3" t="str">
        <f>VLOOKUP(A9:A38,EmployeeMaster3[#All],5,FALSE)</f>
        <v>Tier 2</v>
      </c>
    </row>
    <row r="10" spans="1:20" x14ac:dyDescent="0.3">
      <c r="A10">
        <v>3009</v>
      </c>
      <c r="B10" t="s">
        <v>37</v>
      </c>
      <c r="C10" t="s">
        <v>13</v>
      </c>
      <c r="D10" t="s">
        <v>14</v>
      </c>
      <c r="E10" t="s">
        <v>27</v>
      </c>
      <c r="F10" t="s">
        <v>16</v>
      </c>
      <c r="G10" t="s">
        <v>17</v>
      </c>
      <c r="H10">
        <v>51</v>
      </c>
      <c r="I10">
        <v>42</v>
      </c>
      <c r="J10">
        <v>81</v>
      </c>
      <c r="K10" t="s">
        <v>18</v>
      </c>
      <c r="L10" t="s">
        <v>19</v>
      </c>
      <c r="M10" t="str">
        <f>TRIM(RawData3[Employee Name])</f>
        <v>Daniel Roy</v>
      </c>
      <c r="N10" s="2">
        <f>RawData3[[#This Row],[Resolved]]/RawData3[[#This Row],[Target]]</f>
        <v>0.82352941176470584</v>
      </c>
      <c r="O10" t="str">
        <f>IF(RawData3[[#This Row],[Achievemnent]]&gt;=100%,"Excellent",IF(RawData3[[#This Row],[Achievemnent]]&gt;=90%,"Good","Below Target"))</f>
        <v>Below Target</v>
      </c>
      <c r="P10">
        <f>COUNTIF(RawData3[Perfromnace],"Below Target")</f>
        <v>9</v>
      </c>
      <c r="Q10" s="3">
        <f>SUMIFS(RawData3[Resolved],RawData3[Team],"North")</f>
        <v>367</v>
      </c>
      <c r="R10" s="3">
        <f>SUMIFS(RawData3[Resolved],RawData3[Channel],"Email")</f>
        <v>455</v>
      </c>
      <c r="S10" s="3" t="str">
        <f>VLOOKUP(RawData3[Case ID],EmployeeMaster3[#All],3,FALSE)</f>
        <v>Manager North</v>
      </c>
      <c r="T10" s="3" t="str">
        <f>VLOOKUP(A10:A39,EmployeeMaster3[#All],5,FALSE)</f>
        <v>Tier 1</v>
      </c>
    </row>
    <row r="11" spans="1:20" x14ac:dyDescent="0.3">
      <c r="A11">
        <v>3010</v>
      </c>
      <c r="B11" t="s">
        <v>38</v>
      </c>
      <c r="C11" t="s">
        <v>21</v>
      </c>
      <c r="D11" t="s">
        <v>26</v>
      </c>
      <c r="E11" t="s">
        <v>15</v>
      </c>
      <c r="F11" t="s">
        <v>23</v>
      </c>
      <c r="G11" t="s">
        <v>17</v>
      </c>
      <c r="H11">
        <v>49</v>
      </c>
      <c r="I11">
        <v>48</v>
      </c>
      <c r="J11">
        <v>95</v>
      </c>
      <c r="K11" t="s">
        <v>18</v>
      </c>
      <c r="L11" t="s">
        <v>19</v>
      </c>
      <c r="M11" t="str">
        <f>TRIM(RawData3[Employee Name])</f>
        <v>Meera Nair</v>
      </c>
      <c r="N11" s="2">
        <f>RawData3[[#This Row],[Resolved]]/RawData3[[#This Row],[Target]]</f>
        <v>0.97959183673469385</v>
      </c>
      <c r="O11" t="str">
        <f>IF(RawData3[[#This Row],[Achievemnent]]&gt;=100%,"Excellent",IF(RawData3[[#This Row],[Achievemnent]]&gt;=90%,"Good","Below Target"))</f>
        <v>Good</v>
      </c>
      <c r="P11">
        <f>COUNTIF(RawData3[Perfromnace],"Below Target")</f>
        <v>9</v>
      </c>
      <c r="Q11" s="3">
        <f>SUMIFS(RawData3[Resolved],RawData3[Team],"North")</f>
        <v>367</v>
      </c>
      <c r="R11" s="3">
        <f>SUMIFS(RawData3[Resolved],RawData3[Channel],"Email")</f>
        <v>455</v>
      </c>
      <c r="S11" s="3" t="str">
        <f>VLOOKUP(RawData3[Case ID],EmployeeMaster3[#All],3,FALSE)</f>
        <v>Manager South</v>
      </c>
      <c r="T11" s="3" t="str">
        <f>VLOOKUP(A11:A40,EmployeeMaster3[#All],5,FALSE)</f>
        <v>Tier 2</v>
      </c>
    </row>
    <row r="12" spans="1:20" x14ac:dyDescent="0.3">
      <c r="A12">
        <v>3011</v>
      </c>
      <c r="B12" t="s">
        <v>39</v>
      </c>
      <c r="C12" t="s">
        <v>25</v>
      </c>
      <c r="D12" t="s">
        <v>14</v>
      </c>
      <c r="E12" t="s">
        <v>22</v>
      </c>
      <c r="F12" t="s">
        <v>28</v>
      </c>
      <c r="G12" t="s">
        <v>17</v>
      </c>
      <c r="H12">
        <v>46</v>
      </c>
      <c r="I12">
        <v>40</v>
      </c>
      <c r="J12">
        <v>79</v>
      </c>
      <c r="K12" t="s">
        <v>18</v>
      </c>
      <c r="L12" t="s">
        <v>19</v>
      </c>
      <c r="M12" t="str">
        <f>TRIM(RawData3[Employee Name])</f>
        <v>Omar Khan</v>
      </c>
      <c r="N12" s="2">
        <f>RawData3[[#This Row],[Resolved]]/RawData3[[#This Row],[Target]]</f>
        <v>0.86956521739130432</v>
      </c>
      <c r="O12" t="str">
        <f>IF(RawData3[[#This Row],[Achievemnent]]&gt;=100%,"Excellent",IF(RawData3[[#This Row],[Achievemnent]]&gt;=90%,"Good","Below Target"))</f>
        <v>Below Target</v>
      </c>
      <c r="P12">
        <f>COUNTIF(RawData3[Perfromnace],"Below Target")</f>
        <v>9</v>
      </c>
      <c r="Q12" s="3">
        <f>SUMIFS(RawData3[Resolved],RawData3[Team],"North")</f>
        <v>367</v>
      </c>
      <c r="R12" s="3">
        <f>SUMIFS(RawData3[Resolved],RawData3[Channel],"Email")</f>
        <v>455</v>
      </c>
      <c r="S12" s="3" t="str">
        <f>VLOOKUP(RawData3[Case ID],EmployeeMaster3[#All],3,FALSE)</f>
        <v>Manager East</v>
      </c>
      <c r="T12" s="3" t="str">
        <f>VLOOKUP(A12:A41,EmployeeMaster3[#All],5,FALSE)</f>
        <v>Tier 1</v>
      </c>
    </row>
    <row r="13" spans="1:20" x14ac:dyDescent="0.3">
      <c r="A13">
        <v>3012</v>
      </c>
      <c r="B13" t="s">
        <v>40</v>
      </c>
      <c r="C13" t="s">
        <v>30</v>
      </c>
      <c r="D13" t="s">
        <v>26</v>
      </c>
      <c r="E13" t="s">
        <v>27</v>
      </c>
      <c r="F13" t="s">
        <v>31</v>
      </c>
      <c r="G13" t="s">
        <v>17</v>
      </c>
      <c r="H13">
        <v>53</v>
      </c>
      <c r="I13">
        <v>49</v>
      </c>
      <c r="J13">
        <v>92</v>
      </c>
      <c r="K13" t="s">
        <v>18</v>
      </c>
      <c r="L13" t="s">
        <v>19</v>
      </c>
      <c r="M13" t="str">
        <f>TRIM(RawData3[Employee Name])</f>
        <v>Neha Patel</v>
      </c>
      <c r="N13" s="2">
        <f>RawData3[[#This Row],[Resolved]]/RawData3[[#This Row],[Target]]</f>
        <v>0.92452830188679247</v>
      </c>
      <c r="O13" t="str">
        <f>IF(RawData3[[#This Row],[Achievemnent]]&gt;=100%,"Excellent",IF(RawData3[[#This Row],[Achievemnent]]&gt;=90%,"Good","Below Target"))</f>
        <v>Good</v>
      </c>
      <c r="P13">
        <f>COUNTIF(RawData3[Perfromnace],"Below Target")</f>
        <v>9</v>
      </c>
      <c r="Q13" s="3">
        <f>SUMIFS(RawData3[Resolved],RawData3[Team],"North")</f>
        <v>367</v>
      </c>
      <c r="R13" s="3">
        <f>SUMIFS(RawData3[Resolved],RawData3[Channel],"Email")</f>
        <v>455</v>
      </c>
      <c r="S13" s="3" t="str">
        <f>VLOOKUP(RawData3[Case ID],EmployeeMaster3[#All],3,FALSE)</f>
        <v>Manager West</v>
      </c>
      <c r="T13" s="3" t="str">
        <f>VLOOKUP(A13:A42,EmployeeMaster3[#All],5,FALSE)</f>
        <v>Tier 2</v>
      </c>
    </row>
    <row r="14" spans="1:20" x14ac:dyDescent="0.3">
      <c r="A14">
        <v>3013</v>
      </c>
      <c r="B14" t="s">
        <v>41</v>
      </c>
      <c r="C14" t="s">
        <v>13</v>
      </c>
      <c r="D14" t="s">
        <v>26</v>
      </c>
      <c r="E14" t="s">
        <v>15</v>
      </c>
      <c r="F14" t="s">
        <v>16</v>
      </c>
      <c r="G14" t="s">
        <v>17</v>
      </c>
      <c r="H14">
        <v>48</v>
      </c>
      <c r="I14">
        <v>45</v>
      </c>
      <c r="J14">
        <v>87</v>
      </c>
      <c r="K14" t="s">
        <v>18</v>
      </c>
      <c r="L14" t="s">
        <v>19</v>
      </c>
      <c r="M14" t="str">
        <f>TRIM(RawData3[Employee Name])</f>
        <v>Zaid Ahmed</v>
      </c>
      <c r="N14" s="2">
        <f>RawData3[[#This Row],[Resolved]]/RawData3[[#This Row],[Target]]</f>
        <v>0.9375</v>
      </c>
      <c r="O14" t="str">
        <f>IF(RawData3[[#This Row],[Achievemnent]]&gt;=100%,"Excellent",IF(RawData3[[#This Row],[Achievemnent]]&gt;=90%,"Good","Below Target"))</f>
        <v>Good</v>
      </c>
      <c r="P14">
        <f>COUNTIF(RawData3[Perfromnace],"Below Target")</f>
        <v>9</v>
      </c>
      <c r="Q14" s="3">
        <f>SUMIFS(RawData3[Resolved],RawData3[Team],"North")</f>
        <v>367</v>
      </c>
      <c r="R14" s="3">
        <f>SUMIFS(RawData3[Resolved],RawData3[Channel],"Email")</f>
        <v>455</v>
      </c>
      <c r="S14" s="3" t="str">
        <f>VLOOKUP(RawData3[Case ID],EmployeeMaster3[#All],3,FALSE)</f>
        <v>Manager North</v>
      </c>
      <c r="T14" s="3" t="str">
        <f>VLOOKUP(A14:A43,EmployeeMaster3[#All],5,FALSE)</f>
        <v>Tier 1</v>
      </c>
    </row>
    <row r="15" spans="1:20" x14ac:dyDescent="0.3">
      <c r="A15">
        <v>3014</v>
      </c>
      <c r="B15" t="s">
        <v>42</v>
      </c>
      <c r="C15" t="s">
        <v>21</v>
      </c>
      <c r="D15" t="s">
        <v>14</v>
      </c>
      <c r="E15" t="s">
        <v>22</v>
      </c>
      <c r="F15" t="s">
        <v>23</v>
      </c>
      <c r="G15" t="s">
        <v>17</v>
      </c>
      <c r="H15">
        <v>50</v>
      </c>
      <c r="I15">
        <v>44</v>
      </c>
      <c r="J15">
        <v>90</v>
      </c>
      <c r="K15" t="s">
        <v>18</v>
      </c>
      <c r="L15" t="s">
        <v>19</v>
      </c>
      <c r="M15" t="str">
        <f>TRIM(RawData3[Employee Name])</f>
        <v>Kavya Rao</v>
      </c>
      <c r="N15" s="2">
        <f>RawData3[[#This Row],[Resolved]]/RawData3[[#This Row],[Target]]</f>
        <v>0.88</v>
      </c>
      <c r="O15" t="str">
        <f>IF(RawData3[[#This Row],[Achievemnent]]&gt;=100%,"Excellent",IF(RawData3[[#This Row],[Achievemnent]]&gt;=90%,"Good","Below Target"))</f>
        <v>Below Target</v>
      </c>
      <c r="P15">
        <f>COUNTIF(RawData3[Perfromnace],"Below Target")</f>
        <v>9</v>
      </c>
      <c r="Q15" s="3">
        <f>SUMIFS(RawData3[Resolved],RawData3[Team],"North")</f>
        <v>367</v>
      </c>
      <c r="R15" s="3">
        <f>SUMIFS(RawData3[Resolved],RawData3[Channel],"Email")</f>
        <v>455</v>
      </c>
      <c r="S15" s="3" t="str">
        <f>VLOOKUP(RawData3[Case ID],EmployeeMaster3[#All],3,FALSE)</f>
        <v>Manager South</v>
      </c>
      <c r="T15" s="3" t="str">
        <f>VLOOKUP(A15:A44,EmployeeMaster3[#All],5,FALSE)</f>
        <v>Tier 2</v>
      </c>
    </row>
    <row r="16" spans="1:20" x14ac:dyDescent="0.3">
      <c r="A16">
        <v>3015</v>
      </c>
      <c r="B16" t="s">
        <v>43</v>
      </c>
      <c r="C16" t="s">
        <v>25</v>
      </c>
      <c r="D16" t="s">
        <v>14</v>
      </c>
      <c r="E16" t="s">
        <v>27</v>
      </c>
      <c r="F16" t="s">
        <v>28</v>
      </c>
      <c r="G16" t="s">
        <v>17</v>
      </c>
      <c r="H16">
        <v>54</v>
      </c>
      <c r="I16">
        <v>52</v>
      </c>
      <c r="J16">
        <v>97</v>
      </c>
      <c r="K16" t="s">
        <v>18</v>
      </c>
      <c r="L16" t="s">
        <v>19</v>
      </c>
      <c r="M16" t="str">
        <f>TRIM(RawData3[Employee Name])</f>
        <v>Yusuf Ali</v>
      </c>
      <c r="N16" s="2">
        <f>RawData3[[#This Row],[Resolved]]/RawData3[[#This Row],[Target]]</f>
        <v>0.96296296296296291</v>
      </c>
      <c r="O16" t="str">
        <f>IF(RawData3[[#This Row],[Achievemnent]]&gt;=100%,"Excellent",IF(RawData3[[#This Row],[Achievemnent]]&gt;=90%,"Good","Below Target"))</f>
        <v>Good</v>
      </c>
      <c r="P16">
        <f>COUNTIF(RawData3[Perfromnace],"Below Target")</f>
        <v>9</v>
      </c>
      <c r="Q16" s="3">
        <f>SUMIFS(RawData3[Resolved],RawData3[Team],"North")</f>
        <v>367</v>
      </c>
      <c r="R16" s="3">
        <f>SUMIFS(RawData3[Resolved],RawData3[Channel],"Email")</f>
        <v>455</v>
      </c>
      <c r="S16" s="3" t="str">
        <f>VLOOKUP(RawData3[Case ID],EmployeeMaster3[#All],3,FALSE)</f>
        <v>Manager East</v>
      </c>
      <c r="T16" s="3" t="str">
        <f>VLOOKUP(A16:A45,EmployeeMaster3[#All],5,FALSE)</f>
        <v>Tier 1</v>
      </c>
    </row>
    <row r="17" spans="1:20" x14ac:dyDescent="0.3">
      <c r="A17">
        <v>3016</v>
      </c>
      <c r="B17" t="s">
        <v>44</v>
      </c>
      <c r="C17" t="s">
        <v>30</v>
      </c>
      <c r="D17" t="s">
        <v>26</v>
      </c>
      <c r="E17" t="s">
        <v>15</v>
      </c>
      <c r="F17" t="s">
        <v>31</v>
      </c>
      <c r="G17" t="s">
        <v>17</v>
      </c>
      <c r="H17">
        <v>46</v>
      </c>
      <c r="I17">
        <v>41</v>
      </c>
      <c r="J17">
        <v>83</v>
      </c>
      <c r="K17" t="s">
        <v>18</v>
      </c>
      <c r="L17" t="s">
        <v>19</v>
      </c>
      <c r="M17" t="str">
        <f>TRIM(RawData3[Employee Name])</f>
        <v>Arjun Mehta</v>
      </c>
      <c r="N17" s="2">
        <f>RawData3[[#This Row],[Resolved]]/RawData3[[#This Row],[Target]]</f>
        <v>0.89130434782608692</v>
      </c>
      <c r="O17" t="str">
        <f>IF(RawData3[[#This Row],[Achievemnent]]&gt;=100%,"Excellent",IF(RawData3[[#This Row],[Achievemnent]]&gt;=90%,"Good","Below Target"))</f>
        <v>Below Target</v>
      </c>
      <c r="P17">
        <f>COUNTIF(RawData3[Perfromnace],"Below Target")</f>
        <v>9</v>
      </c>
      <c r="Q17" s="3">
        <f>SUMIFS(RawData3[Resolved],RawData3[Team],"North")</f>
        <v>367</v>
      </c>
      <c r="R17" s="3">
        <f>SUMIFS(RawData3[Resolved],RawData3[Channel],"Email")</f>
        <v>455</v>
      </c>
      <c r="S17" s="3" t="str">
        <f>VLOOKUP(RawData3[Case ID],EmployeeMaster3[#All],3,FALSE)</f>
        <v>Manager West</v>
      </c>
      <c r="T17" s="3" t="str">
        <f>VLOOKUP(A17:A46,EmployeeMaster3[#All],5,FALSE)</f>
        <v>Tier 2</v>
      </c>
    </row>
    <row r="18" spans="1:20" x14ac:dyDescent="0.3">
      <c r="A18">
        <v>3017</v>
      </c>
      <c r="B18" t="s">
        <v>45</v>
      </c>
      <c r="C18" t="s">
        <v>13</v>
      </c>
      <c r="D18" t="s">
        <v>14</v>
      </c>
      <c r="E18" t="s">
        <v>22</v>
      </c>
      <c r="F18" t="s">
        <v>16</v>
      </c>
      <c r="G18" t="s">
        <v>17</v>
      </c>
      <c r="H18">
        <v>49</v>
      </c>
      <c r="I18">
        <v>44</v>
      </c>
      <c r="J18">
        <v>78</v>
      </c>
      <c r="K18" t="s">
        <v>18</v>
      </c>
      <c r="L18" t="s">
        <v>19</v>
      </c>
      <c r="M18" t="str">
        <f>TRIM(RawData3[Employee Name])</f>
        <v>Sana Khan</v>
      </c>
      <c r="N18" s="2">
        <f>RawData3[[#This Row],[Resolved]]/RawData3[[#This Row],[Target]]</f>
        <v>0.89795918367346939</v>
      </c>
      <c r="O18" t="str">
        <f>IF(RawData3[[#This Row],[Achievemnent]]&gt;=100%,"Excellent",IF(RawData3[[#This Row],[Achievemnent]]&gt;=90%,"Good","Below Target"))</f>
        <v>Below Target</v>
      </c>
      <c r="P18">
        <f>COUNTIF(RawData3[Perfromnace],"Below Target")</f>
        <v>9</v>
      </c>
      <c r="Q18" s="3">
        <f>SUMIFS(RawData3[Resolved],RawData3[Team],"North")</f>
        <v>367</v>
      </c>
      <c r="R18" s="3">
        <f>SUMIFS(RawData3[Resolved],RawData3[Channel],"Email")</f>
        <v>455</v>
      </c>
      <c r="S18" s="3" t="str">
        <f>VLOOKUP(RawData3[Case ID],EmployeeMaster3[#All],3,FALSE)</f>
        <v>Manager North</v>
      </c>
      <c r="T18" s="3" t="str">
        <f>VLOOKUP(A18:A47,EmployeeMaster3[#All],5,FALSE)</f>
        <v>Tier 1</v>
      </c>
    </row>
    <row r="19" spans="1:20" x14ac:dyDescent="0.3">
      <c r="A19">
        <v>3018</v>
      </c>
      <c r="B19" t="s">
        <v>46</v>
      </c>
      <c r="C19" t="s">
        <v>21</v>
      </c>
      <c r="D19" t="s">
        <v>26</v>
      </c>
      <c r="E19" t="s">
        <v>27</v>
      </c>
      <c r="F19" t="s">
        <v>23</v>
      </c>
      <c r="G19" t="s">
        <v>17</v>
      </c>
      <c r="H19">
        <v>51</v>
      </c>
      <c r="I19">
        <v>46</v>
      </c>
      <c r="J19">
        <v>86</v>
      </c>
      <c r="K19" t="s">
        <v>18</v>
      </c>
      <c r="L19" t="s">
        <v>19</v>
      </c>
      <c r="M19" t="str">
        <f>TRIM(RawData3[Employee Name])</f>
        <v>Ravi Kumar</v>
      </c>
      <c r="N19" s="2">
        <f>RawData3[[#This Row],[Resolved]]/RawData3[[#This Row],[Target]]</f>
        <v>0.90196078431372551</v>
      </c>
      <c r="O19" t="str">
        <f>IF(RawData3[[#This Row],[Achievemnent]]&gt;=100%,"Excellent",IF(RawData3[[#This Row],[Achievemnent]]&gt;=90%,"Good","Below Target"))</f>
        <v>Good</v>
      </c>
      <c r="P19">
        <f>COUNTIF(RawData3[Perfromnace],"Below Target")</f>
        <v>9</v>
      </c>
      <c r="Q19" s="3">
        <f>SUMIFS(RawData3[Resolved],RawData3[Team],"North")</f>
        <v>367</v>
      </c>
      <c r="R19" s="3">
        <f>SUMIFS(RawData3[Resolved],RawData3[Channel],"Email")</f>
        <v>455</v>
      </c>
      <c r="S19" s="3" t="str">
        <f>VLOOKUP(RawData3[Case ID],EmployeeMaster3[#All],3,FALSE)</f>
        <v>Manager South</v>
      </c>
      <c r="T19" s="3" t="str">
        <f>VLOOKUP(A19:A48,EmployeeMaster3[#All],5,FALSE)</f>
        <v>Tier 2</v>
      </c>
    </row>
    <row r="20" spans="1:20" x14ac:dyDescent="0.3">
      <c r="A20">
        <v>3019</v>
      </c>
      <c r="B20" t="s">
        <v>47</v>
      </c>
      <c r="C20" t="s">
        <v>25</v>
      </c>
      <c r="D20" t="s">
        <v>14</v>
      </c>
      <c r="E20" t="s">
        <v>15</v>
      </c>
      <c r="F20" t="s">
        <v>28</v>
      </c>
      <c r="G20" t="s">
        <v>17</v>
      </c>
      <c r="H20">
        <v>47</v>
      </c>
      <c r="I20">
        <v>45</v>
      </c>
      <c r="J20">
        <v>91</v>
      </c>
      <c r="K20" t="s">
        <v>18</v>
      </c>
      <c r="L20" t="s">
        <v>19</v>
      </c>
      <c r="M20" t="str">
        <f>TRIM(RawData3[Employee Name])</f>
        <v>Hina Sheikh</v>
      </c>
      <c r="N20" s="2">
        <f>RawData3[[#This Row],[Resolved]]/RawData3[[#This Row],[Target]]</f>
        <v>0.95744680851063835</v>
      </c>
      <c r="O20" t="str">
        <f>IF(RawData3[[#This Row],[Achievemnent]]&gt;=100%,"Excellent",IF(RawData3[[#This Row],[Achievemnent]]&gt;=90%,"Good","Below Target"))</f>
        <v>Good</v>
      </c>
      <c r="P20">
        <f>COUNTIF(RawData3[Perfromnace],"Below Target")</f>
        <v>9</v>
      </c>
      <c r="Q20" s="3">
        <f>SUMIFS(RawData3[Resolved],RawData3[Team],"North")</f>
        <v>367</v>
      </c>
      <c r="R20" s="3">
        <f>SUMIFS(RawData3[Resolved],RawData3[Channel],"Email")</f>
        <v>455</v>
      </c>
      <c r="S20" s="3" t="str">
        <f>VLOOKUP(RawData3[Case ID],EmployeeMaster3[#All],3,FALSE)</f>
        <v>Manager East</v>
      </c>
      <c r="T20" s="3" t="str">
        <f>VLOOKUP(A20:A49,EmployeeMaster3[#All],5,FALSE)</f>
        <v>Tier 1</v>
      </c>
    </row>
    <row r="21" spans="1:20" x14ac:dyDescent="0.3">
      <c r="A21">
        <v>3020</v>
      </c>
      <c r="B21" t="s">
        <v>48</v>
      </c>
      <c r="C21" t="s">
        <v>30</v>
      </c>
      <c r="D21" t="s">
        <v>14</v>
      </c>
      <c r="E21" t="s">
        <v>22</v>
      </c>
      <c r="F21" t="s">
        <v>31</v>
      </c>
      <c r="G21" t="s">
        <v>17</v>
      </c>
      <c r="H21">
        <v>52</v>
      </c>
      <c r="I21">
        <v>48</v>
      </c>
      <c r="J21">
        <v>89</v>
      </c>
      <c r="K21" t="s">
        <v>18</v>
      </c>
      <c r="L21" t="s">
        <v>19</v>
      </c>
      <c r="M21" t="str">
        <f>TRIM(RawData3[Employee Name])</f>
        <v>Mohan Rao</v>
      </c>
      <c r="N21" s="2">
        <f>RawData3[[#This Row],[Resolved]]/RawData3[[#This Row],[Target]]</f>
        <v>0.92307692307692313</v>
      </c>
      <c r="O21" t="str">
        <f>IF(RawData3[[#This Row],[Achievemnent]]&gt;=100%,"Excellent",IF(RawData3[[#This Row],[Achievemnent]]&gt;=90%,"Good","Below Target"))</f>
        <v>Good</v>
      </c>
      <c r="P21">
        <f>COUNTIF(RawData3[Perfromnace],"Below Target")</f>
        <v>9</v>
      </c>
      <c r="Q21" s="3">
        <f>SUMIFS(RawData3[Resolved],RawData3[Team],"North")</f>
        <v>367</v>
      </c>
      <c r="R21" s="3">
        <f>SUMIFS(RawData3[Resolved],RawData3[Channel],"Email")</f>
        <v>455</v>
      </c>
      <c r="S21" s="3" t="str">
        <f>VLOOKUP(RawData3[Case ID],EmployeeMaster3[#All],3,FALSE)</f>
        <v>Manager West</v>
      </c>
      <c r="T21" s="3" t="str">
        <f>VLOOKUP(A21:A50,EmployeeMaster3[#All],5,FALSE)</f>
        <v>Tier 2</v>
      </c>
    </row>
    <row r="22" spans="1:20" x14ac:dyDescent="0.3">
      <c r="A22">
        <v>3021</v>
      </c>
      <c r="B22" t="s">
        <v>49</v>
      </c>
      <c r="C22" t="s">
        <v>13</v>
      </c>
      <c r="D22" t="s">
        <v>26</v>
      </c>
      <c r="E22" t="s">
        <v>27</v>
      </c>
      <c r="F22" t="s">
        <v>16</v>
      </c>
      <c r="G22" t="s">
        <v>17</v>
      </c>
      <c r="H22">
        <v>50</v>
      </c>
      <c r="I22">
        <v>47</v>
      </c>
      <c r="J22">
        <v>91</v>
      </c>
      <c r="K22" t="s">
        <v>18</v>
      </c>
      <c r="L22" t="s">
        <v>19</v>
      </c>
      <c r="M22" t="str">
        <f>TRIM(RawData3[Employee Name])</f>
        <v>Arif Khan</v>
      </c>
      <c r="N22" s="2">
        <f>RawData3[[#This Row],[Resolved]]/RawData3[[#This Row],[Target]]</f>
        <v>0.94</v>
      </c>
      <c r="O22" t="str">
        <f>IF(RawData3[[#This Row],[Achievemnent]]&gt;=100%,"Excellent",IF(RawData3[[#This Row],[Achievemnent]]&gt;=90%,"Good","Below Target"))</f>
        <v>Good</v>
      </c>
      <c r="P22">
        <f>COUNTIF(RawData3[Perfromnace],"Below Target")</f>
        <v>9</v>
      </c>
      <c r="Q22" s="3">
        <f>SUMIFS(RawData3[Resolved],RawData3[Team],"North")</f>
        <v>367</v>
      </c>
      <c r="R22" s="3">
        <f>SUMIFS(RawData3[Resolved],RawData3[Channel],"Email")</f>
        <v>455</v>
      </c>
      <c r="S22" s="3" t="str">
        <f>VLOOKUP(RawData3[Case ID],EmployeeMaster3[#All],3,FALSE)</f>
        <v>Manager North</v>
      </c>
      <c r="T22" s="3" t="str">
        <f>VLOOKUP(A22:A51,EmployeeMaster3[#All],5,FALSE)</f>
        <v>Tier 1</v>
      </c>
    </row>
    <row r="23" spans="1:20" x14ac:dyDescent="0.3">
      <c r="A23">
        <v>3022</v>
      </c>
      <c r="B23" t="s">
        <v>50</v>
      </c>
      <c r="C23" t="s">
        <v>21</v>
      </c>
      <c r="D23" t="s">
        <v>14</v>
      </c>
      <c r="E23" t="s">
        <v>15</v>
      </c>
      <c r="F23" t="s">
        <v>23</v>
      </c>
      <c r="G23" t="s">
        <v>17</v>
      </c>
      <c r="H23">
        <v>45</v>
      </c>
      <c r="I23">
        <v>43</v>
      </c>
      <c r="J23">
        <v>84</v>
      </c>
      <c r="K23" t="s">
        <v>18</v>
      </c>
      <c r="L23" t="s">
        <v>19</v>
      </c>
      <c r="M23" t="str">
        <f>TRIM(RawData3[Employee Name])</f>
        <v>Latha Devi</v>
      </c>
      <c r="N23" s="2">
        <f>RawData3[[#This Row],[Resolved]]/RawData3[[#This Row],[Target]]</f>
        <v>0.9555555555555556</v>
      </c>
      <c r="O23" t="str">
        <f>IF(RawData3[[#This Row],[Achievemnent]]&gt;=100%,"Excellent",IF(RawData3[[#This Row],[Achievemnent]]&gt;=90%,"Good","Below Target"))</f>
        <v>Good</v>
      </c>
      <c r="P23">
        <f>COUNTIF(RawData3[Perfromnace],"Below Target")</f>
        <v>9</v>
      </c>
      <c r="Q23" s="3">
        <f>SUMIFS(RawData3[Resolved],RawData3[Team],"North")</f>
        <v>367</v>
      </c>
      <c r="R23" s="3">
        <f>SUMIFS(RawData3[Resolved],RawData3[Channel],"Email")</f>
        <v>455</v>
      </c>
      <c r="S23" s="3" t="str">
        <f>VLOOKUP(RawData3[Case ID],EmployeeMaster3[#All],3,FALSE)</f>
        <v>Manager South</v>
      </c>
      <c r="T23" s="3" t="str">
        <f>VLOOKUP(A23:A52,EmployeeMaster3[#All],5,FALSE)</f>
        <v>Tier 2</v>
      </c>
    </row>
    <row r="24" spans="1:20" x14ac:dyDescent="0.3">
      <c r="A24">
        <v>3023</v>
      </c>
      <c r="B24" t="s">
        <v>51</v>
      </c>
      <c r="C24" t="s">
        <v>25</v>
      </c>
      <c r="D24" t="s">
        <v>26</v>
      </c>
      <c r="E24" t="s">
        <v>22</v>
      </c>
      <c r="F24" t="s">
        <v>28</v>
      </c>
      <c r="G24" t="s">
        <v>17</v>
      </c>
      <c r="H24">
        <v>55</v>
      </c>
      <c r="I24">
        <v>50</v>
      </c>
      <c r="J24">
        <v>93</v>
      </c>
      <c r="K24" t="s">
        <v>18</v>
      </c>
      <c r="L24" t="s">
        <v>19</v>
      </c>
      <c r="M24" t="str">
        <f>TRIM(RawData3[Employee Name])</f>
        <v>Sameer Ali</v>
      </c>
      <c r="N24" s="2">
        <f>RawData3[[#This Row],[Resolved]]/RawData3[[#This Row],[Target]]</f>
        <v>0.90909090909090906</v>
      </c>
      <c r="O24" t="str">
        <f>IF(RawData3[[#This Row],[Achievemnent]]&gt;=100%,"Excellent",IF(RawData3[[#This Row],[Achievemnent]]&gt;=90%,"Good","Below Target"))</f>
        <v>Good</v>
      </c>
      <c r="P24">
        <f>COUNTIF(RawData3[Perfromnace],"Below Target")</f>
        <v>9</v>
      </c>
      <c r="Q24" s="3">
        <f>SUMIFS(RawData3[Resolved],RawData3[Team],"North")</f>
        <v>367</v>
      </c>
      <c r="R24" s="3">
        <f>SUMIFS(RawData3[Resolved],RawData3[Channel],"Email")</f>
        <v>455</v>
      </c>
      <c r="S24" s="3" t="str">
        <f>VLOOKUP(RawData3[Case ID],EmployeeMaster3[#All],3,FALSE)</f>
        <v>Manager East</v>
      </c>
      <c r="T24" s="3" t="str">
        <f>VLOOKUP(A24:A53,EmployeeMaster3[#All],5,FALSE)</f>
        <v>Tier 1</v>
      </c>
    </row>
    <row r="25" spans="1:20" x14ac:dyDescent="0.3">
      <c r="A25">
        <v>3024</v>
      </c>
      <c r="B25" t="s">
        <v>52</v>
      </c>
      <c r="C25" t="s">
        <v>30</v>
      </c>
      <c r="D25" t="s">
        <v>14</v>
      </c>
      <c r="E25" t="s">
        <v>27</v>
      </c>
      <c r="F25" t="s">
        <v>31</v>
      </c>
      <c r="G25" t="s">
        <v>17</v>
      </c>
      <c r="H25">
        <v>48</v>
      </c>
      <c r="I25">
        <v>40</v>
      </c>
      <c r="J25">
        <v>75</v>
      </c>
      <c r="K25" t="s">
        <v>18</v>
      </c>
      <c r="L25" t="s">
        <v>19</v>
      </c>
      <c r="M25" t="str">
        <f>TRIM(RawData3[Employee Name])</f>
        <v>Pooja Shah</v>
      </c>
      <c r="N25" s="2">
        <f>RawData3[[#This Row],[Resolved]]/RawData3[[#This Row],[Target]]</f>
        <v>0.83333333333333337</v>
      </c>
      <c r="O25" t="str">
        <f>IF(RawData3[[#This Row],[Achievemnent]]&gt;=100%,"Excellent",IF(RawData3[[#This Row],[Achievemnent]]&gt;=90%,"Good","Below Target"))</f>
        <v>Below Target</v>
      </c>
      <c r="P25">
        <f>COUNTIF(RawData3[Perfromnace],"Below Target")</f>
        <v>9</v>
      </c>
      <c r="Q25" s="3">
        <f>SUMIFS(RawData3[Resolved],RawData3[Team],"North")</f>
        <v>367</v>
      </c>
      <c r="R25" s="3">
        <f>SUMIFS(RawData3[Resolved],RawData3[Channel],"Email")</f>
        <v>455</v>
      </c>
      <c r="S25" s="3" t="str">
        <f>VLOOKUP(RawData3[Case ID],EmployeeMaster3[#All],3,FALSE)</f>
        <v>Manager West</v>
      </c>
      <c r="T25" s="3" t="str">
        <f>VLOOKUP(A25:A54,EmployeeMaster3[#All],5,FALSE)</f>
        <v>Tier 2</v>
      </c>
    </row>
    <row r="26" spans="1:20" x14ac:dyDescent="0.3">
      <c r="A26">
        <v>3025</v>
      </c>
      <c r="B26" t="s">
        <v>53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>
        <v>51</v>
      </c>
      <c r="I26">
        <v>49</v>
      </c>
      <c r="J26">
        <v>90</v>
      </c>
      <c r="K26" t="s">
        <v>18</v>
      </c>
      <c r="L26" t="s">
        <v>19</v>
      </c>
      <c r="M26" t="str">
        <f>TRIM(RawData3[Employee Name])</f>
        <v>Nitin Das</v>
      </c>
      <c r="N26" s="2">
        <f>RawData3[[#This Row],[Resolved]]/RawData3[[#This Row],[Target]]</f>
        <v>0.96078431372549022</v>
      </c>
      <c r="O26" t="str">
        <f>IF(RawData3[[#This Row],[Achievemnent]]&gt;=100%,"Excellent",IF(RawData3[[#This Row],[Achievemnent]]&gt;=90%,"Good","Below Target"))</f>
        <v>Good</v>
      </c>
      <c r="P26">
        <f>COUNTIF(RawData3[Perfromnace],"Below Target")</f>
        <v>9</v>
      </c>
      <c r="Q26" s="3">
        <f>SUMIFS(RawData3[Resolved],RawData3[Team],"North")</f>
        <v>367</v>
      </c>
      <c r="R26" s="3">
        <f>SUMIFS(RawData3[Resolved],RawData3[Channel],"Email")</f>
        <v>455</v>
      </c>
      <c r="S26" s="3" t="str">
        <f>VLOOKUP(RawData3[Case ID],EmployeeMaster3[#All],3,FALSE)</f>
        <v>Manager North</v>
      </c>
      <c r="T26" s="3" t="str">
        <f>VLOOKUP(A26:A55,EmployeeMaster3[#All],5,FALSE)</f>
        <v>Tier 1</v>
      </c>
    </row>
    <row r="27" spans="1:20" x14ac:dyDescent="0.3">
      <c r="A27">
        <v>3026</v>
      </c>
      <c r="B27" t="s">
        <v>54</v>
      </c>
      <c r="C27" t="s">
        <v>21</v>
      </c>
      <c r="D27" t="s">
        <v>26</v>
      </c>
      <c r="E27" t="s">
        <v>22</v>
      </c>
      <c r="F27" t="s">
        <v>23</v>
      </c>
      <c r="G27" t="s">
        <v>17</v>
      </c>
      <c r="H27">
        <v>46</v>
      </c>
      <c r="I27">
        <v>44</v>
      </c>
      <c r="J27">
        <v>96</v>
      </c>
      <c r="K27" t="s">
        <v>18</v>
      </c>
      <c r="L27" t="s">
        <v>19</v>
      </c>
      <c r="M27" t="str">
        <f>TRIM(RawData3[Employee Name])</f>
        <v>Farah Noor</v>
      </c>
      <c r="N27" s="2">
        <f>RawData3[[#This Row],[Resolved]]/RawData3[[#This Row],[Target]]</f>
        <v>0.95652173913043481</v>
      </c>
      <c r="O27" t="str">
        <f>IF(RawData3[[#This Row],[Achievemnent]]&gt;=100%,"Excellent",IF(RawData3[[#This Row],[Achievemnent]]&gt;=90%,"Good","Below Target"))</f>
        <v>Good</v>
      </c>
      <c r="P27">
        <f>COUNTIF(RawData3[Perfromnace],"Below Target")</f>
        <v>9</v>
      </c>
      <c r="Q27" s="3">
        <f>SUMIFS(RawData3[Resolved],RawData3[Team],"North")</f>
        <v>367</v>
      </c>
      <c r="R27" s="3">
        <f>SUMIFS(RawData3[Resolved],RawData3[Channel],"Email")</f>
        <v>455</v>
      </c>
      <c r="S27" s="3" t="str">
        <f>VLOOKUP(RawData3[Case ID],EmployeeMaster3[#All],3,FALSE)</f>
        <v>Manager South</v>
      </c>
      <c r="T27" s="3" t="str">
        <f>VLOOKUP(A27:A56,EmployeeMaster3[#All],5,FALSE)</f>
        <v>Tier 2</v>
      </c>
    </row>
    <row r="28" spans="1:20" x14ac:dyDescent="0.3">
      <c r="A28">
        <v>3027</v>
      </c>
      <c r="B28" t="s">
        <v>55</v>
      </c>
      <c r="C28" t="s">
        <v>25</v>
      </c>
      <c r="D28" t="s">
        <v>14</v>
      </c>
      <c r="E28" t="s">
        <v>27</v>
      </c>
      <c r="F28" t="s">
        <v>28</v>
      </c>
      <c r="G28" t="s">
        <v>17</v>
      </c>
      <c r="H28">
        <v>50</v>
      </c>
      <c r="I28">
        <v>45</v>
      </c>
      <c r="J28">
        <v>82</v>
      </c>
      <c r="K28" t="s">
        <v>18</v>
      </c>
      <c r="L28" t="s">
        <v>19</v>
      </c>
      <c r="M28" t="str">
        <f>TRIM(RawData3[Employee Name])</f>
        <v>Karan Singh</v>
      </c>
      <c r="N28" s="2">
        <f>RawData3[[#This Row],[Resolved]]/RawData3[[#This Row],[Target]]</f>
        <v>0.9</v>
      </c>
      <c r="O28" t="str">
        <f>IF(RawData3[[#This Row],[Achievemnent]]&gt;=100%,"Excellent",IF(RawData3[[#This Row],[Achievemnent]]&gt;=90%,"Good","Below Target"))</f>
        <v>Good</v>
      </c>
      <c r="P28">
        <f>COUNTIF(RawData3[Perfromnace],"Below Target")</f>
        <v>9</v>
      </c>
      <c r="Q28" s="3">
        <f>SUMIFS(RawData3[Resolved],RawData3[Team],"North")</f>
        <v>367</v>
      </c>
      <c r="R28" s="3">
        <f>SUMIFS(RawData3[Resolved],RawData3[Channel],"Email")</f>
        <v>455</v>
      </c>
      <c r="S28" s="3" t="str">
        <f>VLOOKUP(RawData3[Case ID],EmployeeMaster3[#All],3,FALSE)</f>
        <v>Manager East</v>
      </c>
      <c r="T28" s="3" t="str">
        <f>VLOOKUP(A28:A57,EmployeeMaster3[#All],5,FALSE)</f>
        <v>Tier 1</v>
      </c>
    </row>
    <row r="29" spans="1:20" x14ac:dyDescent="0.3">
      <c r="A29">
        <v>3028</v>
      </c>
      <c r="B29" t="s">
        <v>56</v>
      </c>
      <c r="C29" t="s">
        <v>30</v>
      </c>
      <c r="D29" t="s">
        <v>26</v>
      </c>
      <c r="E29" t="s">
        <v>15</v>
      </c>
      <c r="F29" t="s">
        <v>31</v>
      </c>
      <c r="G29" t="s">
        <v>17</v>
      </c>
      <c r="H29">
        <v>54</v>
      </c>
      <c r="I29">
        <v>52</v>
      </c>
      <c r="J29">
        <v>94</v>
      </c>
      <c r="K29" t="s">
        <v>18</v>
      </c>
      <c r="L29" t="s">
        <v>19</v>
      </c>
      <c r="M29" t="str">
        <f>TRIM(RawData3[Employee Name])</f>
        <v>Anita Roy</v>
      </c>
      <c r="N29" s="2">
        <f>RawData3[[#This Row],[Resolved]]/RawData3[[#This Row],[Target]]</f>
        <v>0.96296296296296291</v>
      </c>
      <c r="O29" t="str">
        <f>IF(RawData3[[#This Row],[Achievemnent]]&gt;=100%,"Excellent",IF(RawData3[[#This Row],[Achievemnent]]&gt;=90%,"Good","Below Target"))</f>
        <v>Good</v>
      </c>
      <c r="P29">
        <f>COUNTIF(RawData3[Perfromnace],"Below Target")</f>
        <v>9</v>
      </c>
      <c r="Q29" s="3">
        <f>SUMIFS(RawData3[Resolved],RawData3[Team],"North")</f>
        <v>367</v>
      </c>
      <c r="R29" s="3">
        <f>SUMIFS(RawData3[Resolved],RawData3[Channel],"Email")</f>
        <v>455</v>
      </c>
      <c r="S29" s="3" t="str">
        <f>VLOOKUP(RawData3[Case ID],EmployeeMaster3[#All],3,FALSE)</f>
        <v>Manager West</v>
      </c>
      <c r="T29" s="3" t="str">
        <f>VLOOKUP(A29:A58,EmployeeMaster3[#All],5,FALSE)</f>
        <v>Tier 2</v>
      </c>
    </row>
    <row r="30" spans="1:20" x14ac:dyDescent="0.3">
      <c r="A30">
        <v>3029</v>
      </c>
      <c r="B30" t="s">
        <v>57</v>
      </c>
      <c r="C30" t="s">
        <v>13</v>
      </c>
      <c r="D30" t="s">
        <v>14</v>
      </c>
      <c r="E30" t="s">
        <v>22</v>
      </c>
      <c r="F30" t="s">
        <v>16</v>
      </c>
      <c r="G30" t="s">
        <v>17</v>
      </c>
      <c r="H30">
        <v>47</v>
      </c>
      <c r="I30">
        <v>39</v>
      </c>
      <c r="J30">
        <v>77</v>
      </c>
      <c r="K30" t="s">
        <v>18</v>
      </c>
      <c r="L30" t="s">
        <v>19</v>
      </c>
      <c r="M30" t="str">
        <f>TRIM(RawData3[Employee Name])</f>
        <v>Bilal Khan</v>
      </c>
      <c r="N30" s="2">
        <f>RawData3[[#This Row],[Resolved]]/RawData3[[#This Row],[Target]]</f>
        <v>0.82978723404255317</v>
      </c>
      <c r="O30" t="str">
        <f>IF(RawData3[[#This Row],[Achievemnent]]&gt;=100%,"Excellent",IF(RawData3[[#This Row],[Achievemnent]]&gt;=90%,"Good","Below Target"))</f>
        <v>Below Target</v>
      </c>
      <c r="P30">
        <f>COUNTIF(RawData3[Perfromnace],"Below Target")</f>
        <v>9</v>
      </c>
      <c r="Q30" s="3">
        <f>SUMIFS(RawData3[Resolved],RawData3[Team],"North")</f>
        <v>367</v>
      </c>
      <c r="R30" s="3">
        <f>SUMIFS(RawData3[Resolved],RawData3[Channel],"Email")</f>
        <v>455</v>
      </c>
      <c r="S30" s="3" t="str">
        <f>VLOOKUP(RawData3[Case ID],EmployeeMaster3[#All],3,FALSE)</f>
        <v>Manager North</v>
      </c>
      <c r="T30" s="3" t="str">
        <f>VLOOKUP(A30:A59,EmployeeMaster3[#All],5,FALSE)</f>
        <v>Tier 1</v>
      </c>
    </row>
    <row r="31" spans="1:20" x14ac:dyDescent="0.3">
      <c r="A31">
        <v>3030</v>
      </c>
      <c r="B31" t="s">
        <v>58</v>
      </c>
      <c r="C31" t="s">
        <v>21</v>
      </c>
      <c r="D31" t="s">
        <v>26</v>
      </c>
      <c r="E31" t="s">
        <v>27</v>
      </c>
      <c r="F31" t="s">
        <v>23</v>
      </c>
      <c r="G31" t="s">
        <v>17</v>
      </c>
      <c r="H31">
        <v>49</v>
      </c>
      <c r="I31">
        <v>46</v>
      </c>
      <c r="J31">
        <v>91</v>
      </c>
      <c r="K31" t="s">
        <v>18</v>
      </c>
      <c r="L31" t="s">
        <v>19</v>
      </c>
      <c r="M31" t="str">
        <f>TRIM(RawData3[Employee Name])</f>
        <v>Divya Nair</v>
      </c>
      <c r="N31" s="2">
        <f>RawData3[[#This Row],[Resolved]]/RawData3[[#This Row],[Target]]</f>
        <v>0.93877551020408168</v>
      </c>
      <c r="O31" t="str">
        <f>IF(RawData3[[#This Row],[Achievemnent]]&gt;=100%,"Excellent",IF(RawData3[[#This Row],[Achievemnent]]&gt;=90%,"Good","Below Target"))</f>
        <v>Good</v>
      </c>
      <c r="P31">
        <f>COUNTIF(RawData3[Perfromnace],"Below Target")</f>
        <v>9</v>
      </c>
      <c r="Q31" s="3">
        <f>SUMIFS(RawData3[Resolved],RawData3[Team],"North")</f>
        <v>367</v>
      </c>
      <c r="R31" s="3">
        <f>SUMIFS(RawData3[Resolved],RawData3[Channel],"Email")</f>
        <v>455</v>
      </c>
      <c r="S31" s="3" t="str">
        <f>VLOOKUP(RawData3[Case ID],EmployeeMaster3[#All],3,FALSE)</f>
        <v>Manager South</v>
      </c>
      <c r="T31" s="3" t="str">
        <f>VLOOKUP(A31:A60,EmployeeMaster3[#All],5,FALSE)</f>
        <v>Tier 2</v>
      </c>
    </row>
    <row r="32" spans="1:20" x14ac:dyDescent="0.3">
      <c r="M32" s="3"/>
      <c r="N32" s="2"/>
      <c r="O32" s="3"/>
      <c r="P32" s="3"/>
      <c r="Q32" s="3"/>
      <c r="R32" s="3"/>
      <c r="S32" s="3"/>
      <c r="T32" s="3"/>
    </row>
    <row r="33" spans="13:20" x14ac:dyDescent="0.3">
      <c r="M33" s="3"/>
      <c r="N33" s="2"/>
      <c r="O33" s="3"/>
      <c r="P33" s="3"/>
      <c r="Q33" s="3"/>
      <c r="R33" s="3"/>
      <c r="S33" s="3"/>
      <c r="T33" s="3"/>
    </row>
    <row r="34" spans="13:20" x14ac:dyDescent="0.3">
      <c r="M34" s="3"/>
      <c r="N34" s="2"/>
      <c r="O34" s="3"/>
      <c r="P34" s="3"/>
      <c r="Q34" s="3"/>
      <c r="R34" s="3"/>
      <c r="S34" s="3"/>
      <c r="T34" s="3"/>
    </row>
  </sheetData>
  <conditionalFormatting sqref="J2:J31">
    <cfRule type="cellIs" dxfId="12" priority="1" operator="lessThan">
      <formula>86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6" activePane="bottomLeft" state="frozen"/>
      <selection pane="bottomLeft"/>
    </sheetView>
  </sheetViews>
  <sheetFormatPr defaultRowHeight="14.4" x14ac:dyDescent="0.3"/>
  <cols>
    <col min="1" max="1" width="12" customWidth="1"/>
    <col min="2" max="3" width="15" customWidth="1"/>
    <col min="4" max="5" width="12" customWidth="1"/>
  </cols>
  <sheetData>
    <row r="1" spans="1:5" x14ac:dyDescent="0.3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  <row r="2" spans="1:5" x14ac:dyDescent="0.3">
      <c r="A2">
        <v>3001</v>
      </c>
      <c r="B2" t="s">
        <v>49</v>
      </c>
      <c r="C2" t="s">
        <v>62</v>
      </c>
      <c r="D2" t="s">
        <v>63</v>
      </c>
      <c r="E2" t="s">
        <v>64</v>
      </c>
    </row>
    <row r="3" spans="1:5" x14ac:dyDescent="0.3">
      <c r="A3">
        <v>3002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3">
      <c r="A4">
        <v>3003</v>
      </c>
      <c r="B4" t="s">
        <v>24</v>
      </c>
      <c r="C4" t="s">
        <v>69</v>
      </c>
      <c r="D4" t="s">
        <v>70</v>
      </c>
      <c r="E4" t="s">
        <v>64</v>
      </c>
    </row>
    <row r="5" spans="1:5" x14ac:dyDescent="0.3">
      <c r="A5">
        <v>3004</v>
      </c>
      <c r="B5" t="s">
        <v>29</v>
      </c>
      <c r="C5" t="s">
        <v>71</v>
      </c>
      <c r="D5" t="s">
        <v>63</v>
      </c>
      <c r="E5" t="s">
        <v>68</v>
      </c>
    </row>
    <row r="6" spans="1:5" x14ac:dyDescent="0.3">
      <c r="A6">
        <v>3005</v>
      </c>
      <c r="B6" t="s">
        <v>32</v>
      </c>
      <c r="C6" t="s">
        <v>62</v>
      </c>
      <c r="D6" t="s">
        <v>67</v>
      </c>
      <c r="E6" t="s">
        <v>64</v>
      </c>
    </row>
    <row r="7" spans="1:5" x14ac:dyDescent="0.3">
      <c r="A7">
        <v>3006</v>
      </c>
      <c r="B7" t="s">
        <v>72</v>
      </c>
      <c r="C7" t="s">
        <v>66</v>
      </c>
      <c r="D7" t="s">
        <v>70</v>
      </c>
      <c r="E7" t="s">
        <v>68</v>
      </c>
    </row>
    <row r="8" spans="1:5" x14ac:dyDescent="0.3">
      <c r="A8">
        <v>3007</v>
      </c>
      <c r="B8" t="s">
        <v>34</v>
      </c>
      <c r="C8" t="s">
        <v>69</v>
      </c>
      <c r="D8" t="s">
        <v>63</v>
      </c>
      <c r="E8" t="s">
        <v>64</v>
      </c>
    </row>
    <row r="9" spans="1:5" x14ac:dyDescent="0.3">
      <c r="A9">
        <v>3008</v>
      </c>
      <c r="B9" t="s">
        <v>36</v>
      </c>
      <c r="C9" t="s">
        <v>71</v>
      </c>
      <c r="D9" t="s">
        <v>67</v>
      </c>
      <c r="E9" t="s">
        <v>68</v>
      </c>
    </row>
    <row r="10" spans="1:5" x14ac:dyDescent="0.3">
      <c r="A10">
        <v>3009</v>
      </c>
      <c r="B10" t="s">
        <v>37</v>
      </c>
      <c r="C10" t="s">
        <v>62</v>
      </c>
      <c r="D10" t="s">
        <v>70</v>
      </c>
      <c r="E10" t="s">
        <v>64</v>
      </c>
    </row>
    <row r="11" spans="1:5" x14ac:dyDescent="0.3">
      <c r="A11">
        <v>3010</v>
      </c>
      <c r="B11" t="s">
        <v>38</v>
      </c>
      <c r="C11" t="s">
        <v>66</v>
      </c>
      <c r="D11" t="s">
        <v>63</v>
      </c>
      <c r="E11" t="s">
        <v>68</v>
      </c>
    </row>
    <row r="12" spans="1:5" x14ac:dyDescent="0.3">
      <c r="A12">
        <v>3011</v>
      </c>
      <c r="B12" t="s">
        <v>39</v>
      </c>
      <c r="C12" t="s">
        <v>69</v>
      </c>
      <c r="D12" t="s">
        <v>67</v>
      </c>
      <c r="E12" t="s">
        <v>64</v>
      </c>
    </row>
    <row r="13" spans="1:5" x14ac:dyDescent="0.3">
      <c r="A13">
        <v>3012</v>
      </c>
      <c r="B13" t="s">
        <v>40</v>
      </c>
      <c r="C13" t="s">
        <v>71</v>
      </c>
      <c r="D13" t="s">
        <v>70</v>
      </c>
      <c r="E13" t="s">
        <v>68</v>
      </c>
    </row>
    <row r="14" spans="1:5" x14ac:dyDescent="0.3">
      <c r="A14">
        <v>3013</v>
      </c>
      <c r="B14" t="s">
        <v>41</v>
      </c>
      <c r="C14" t="s">
        <v>62</v>
      </c>
      <c r="D14" t="s">
        <v>63</v>
      </c>
      <c r="E14" t="s">
        <v>64</v>
      </c>
    </row>
    <row r="15" spans="1:5" x14ac:dyDescent="0.3">
      <c r="A15">
        <v>3014</v>
      </c>
      <c r="B15" t="s">
        <v>42</v>
      </c>
      <c r="C15" t="s">
        <v>66</v>
      </c>
      <c r="D15" t="s">
        <v>67</v>
      </c>
      <c r="E15" t="s">
        <v>68</v>
      </c>
    </row>
    <row r="16" spans="1:5" x14ac:dyDescent="0.3">
      <c r="A16">
        <v>3015</v>
      </c>
      <c r="B16" t="s">
        <v>73</v>
      </c>
      <c r="C16" t="s">
        <v>69</v>
      </c>
      <c r="D16" t="s">
        <v>70</v>
      </c>
      <c r="E16" t="s">
        <v>64</v>
      </c>
    </row>
    <row r="17" spans="1:5" x14ac:dyDescent="0.3">
      <c r="A17">
        <v>3016</v>
      </c>
      <c r="B17" t="s">
        <v>44</v>
      </c>
      <c r="C17" t="s">
        <v>71</v>
      </c>
      <c r="D17" t="s">
        <v>63</v>
      </c>
      <c r="E17" t="s">
        <v>68</v>
      </c>
    </row>
    <row r="18" spans="1:5" x14ac:dyDescent="0.3">
      <c r="A18">
        <v>3017</v>
      </c>
      <c r="B18" t="s">
        <v>45</v>
      </c>
      <c r="C18" t="s">
        <v>62</v>
      </c>
      <c r="D18" t="s">
        <v>67</v>
      </c>
      <c r="E18" t="s">
        <v>64</v>
      </c>
    </row>
    <row r="19" spans="1:5" x14ac:dyDescent="0.3">
      <c r="A19">
        <v>3018</v>
      </c>
      <c r="B19" t="s">
        <v>46</v>
      </c>
      <c r="C19" t="s">
        <v>66</v>
      </c>
      <c r="D19" t="s">
        <v>70</v>
      </c>
      <c r="E19" t="s">
        <v>68</v>
      </c>
    </row>
    <row r="20" spans="1:5" x14ac:dyDescent="0.3">
      <c r="A20">
        <v>3019</v>
      </c>
      <c r="B20" t="s">
        <v>47</v>
      </c>
      <c r="C20" t="s">
        <v>69</v>
      </c>
      <c r="D20" t="s">
        <v>63</v>
      </c>
      <c r="E20" t="s">
        <v>64</v>
      </c>
    </row>
    <row r="21" spans="1:5" x14ac:dyDescent="0.3">
      <c r="A21">
        <v>3020</v>
      </c>
      <c r="B21" t="s">
        <v>48</v>
      </c>
      <c r="C21" t="s">
        <v>71</v>
      </c>
      <c r="D21" t="s">
        <v>67</v>
      </c>
      <c r="E21" t="s">
        <v>68</v>
      </c>
    </row>
    <row r="22" spans="1:5" x14ac:dyDescent="0.3">
      <c r="A22">
        <v>3021</v>
      </c>
      <c r="B22" t="s">
        <v>49</v>
      </c>
      <c r="C22" t="s">
        <v>62</v>
      </c>
      <c r="D22" t="s">
        <v>70</v>
      </c>
      <c r="E22" t="s">
        <v>64</v>
      </c>
    </row>
    <row r="23" spans="1:5" x14ac:dyDescent="0.3">
      <c r="A23">
        <v>3022</v>
      </c>
      <c r="B23" t="s">
        <v>50</v>
      </c>
      <c r="C23" t="s">
        <v>66</v>
      </c>
      <c r="D23" t="s">
        <v>63</v>
      </c>
      <c r="E23" t="s">
        <v>68</v>
      </c>
    </row>
    <row r="24" spans="1:5" x14ac:dyDescent="0.3">
      <c r="A24">
        <v>3023</v>
      </c>
      <c r="B24" t="s">
        <v>51</v>
      </c>
      <c r="C24" t="s">
        <v>69</v>
      </c>
      <c r="D24" t="s">
        <v>67</v>
      </c>
      <c r="E24" t="s">
        <v>64</v>
      </c>
    </row>
    <row r="25" spans="1:5" x14ac:dyDescent="0.3">
      <c r="A25">
        <v>3024</v>
      </c>
      <c r="B25" t="s">
        <v>52</v>
      </c>
      <c r="C25" t="s">
        <v>71</v>
      </c>
      <c r="D25" t="s">
        <v>70</v>
      </c>
      <c r="E25" t="s">
        <v>68</v>
      </c>
    </row>
    <row r="26" spans="1:5" x14ac:dyDescent="0.3">
      <c r="A26">
        <v>3025</v>
      </c>
      <c r="B26" t="s">
        <v>53</v>
      </c>
      <c r="C26" t="s">
        <v>62</v>
      </c>
      <c r="D26" t="s">
        <v>63</v>
      </c>
      <c r="E26" t="s">
        <v>64</v>
      </c>
    </row>
    <row r="27" spans="1:5" x14ac:dyDescent="0.3">
      <c r="A27">
        <v>3026</v>
      </c>
      <c r="B27" t="s">
        <v>54</v>
      </c>
      <c r="C27" t="s">
        <v>66</v>
      </c>
      <c r="D27" t="s">
        <v>67</v>
      </c>
      <c r="E27" t="s">
        <v>68</v>
      </c>
    </row>
    <row r="28" spans="1:5" x14ac:dyDescent="0.3">
      <c r="A28">
        <v>3027</v>
      </c>
      <c r="B28" t="s">
        <v>55</v>
      </c>
      <c r="C28" t="s">
        <v>69</v>
      </c>
      <c r="D28" t="s">
        <v>70</v>
      </c>
      <c r="E28" t="s">
        <v>64</v>
      </c>
    </row>
    <row r="29" spans="1:5" x14ac:dyDescent="0.3">
      <c r="A29">
        <v>3028</v>
      </c>
      <c r="B29" t="s">
        <v>56</v>
      </c>
      <c r="C29" t="s">
        <v>71</v>
      </c>
      <c r="D29" t="s">
        <v>63</v>
      </c>
      <c r="E29" t="s">
        <v>68</v>
      </c>
    </row>
    <row r="30" spans="1:5" x14ac:dyDescent="0.3">
      <c r="A30">
        <v>3029</v>
      </c>
      <c r="B30" t="s">
        <v>57</v>
      </c>
      <c r="C30" t="s">
        <v>62</v>
      </c>
      <c r="D30" t="s">
        <v>67</v>
      </c>
      <c r="E30" t="s">
        <v>64</v>
      </c>
    </row>
    <row r="31" spans="1:5" x14ac:dyDescent="0.3">
      <c r="A31">
        <v>3030</v>
      </c>
      <c r="B31" t="s">
        <v>58</v>
      </c>
      <c r="C31" t="s">
        <v>66</v>
      </c>
      <c r="D31" t="s">
        <v>70</v>
      </c>
      <c r="E31" t="s">
        <v>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 performance</vt:lpstr>
      <vt:lpstr>QA Summary</vt:lpstr>
      <vt:lpstr>Department Performance</vt:lpstr>
      <vt:lpstr>MIS DashBoard</vt:lpstr>
      <vt:lpstr>Raw_Data</vt:lpstr>
      <vt:lpstr>Employee_Master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Yousuf Khan</cp:lastModifiedBy>
  <dcterms:created xsi:type="dcterms:W3CDTF">2026-08-24T10:37:57Z</dcterms:created>
  <dcterms:modified xsi:type="dcterms:W3CDTF">2026-09-07T17:58:27Z</dcterms:modified>
</cp:coreProperties>
</file>